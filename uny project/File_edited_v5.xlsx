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brid_Fall 2023 (n=10)" sheetId="1" r:id="rId4"/>
    <sheet state="visible" name="Hybrid_Spring 2024 (n=12)" sheetId="2" r:id="rId5"/>
    <sheet state="visible" name="ONLINE Av (Summer 2024 n=25)" sheetId="3" r:id="rId6"/>
    <sheet state="visible" name="ONLINE Av (Spring 2024 n=25)" sheetId="4" r:id="rId7"/>
  </sheets>
  <definedNames/>
  <calcPr/>
</workbook>
</file>

<file path=xl/sharedStrings.xml><?xml version="1.0" encoding="utf-8"?>
<sst xmlns="http://schemas.openxmlformats.org/spreadsheetml/2006/main" count="186" uniqueCount="55">
  <si>
    <t>HYBRID COHORT</t>
  </si>
  <si>
    <t>Competency:  Communication Skills</t>
  </si>
  <si>
    <t xml:space="preserve">Verbal Communication: Context and Purpose for Writing </t>
  </si>
  <si>
    <t xml:space="preserve">Spelling and Grammar </t>
  </si>
  <si>
    <t>Format</t>
  </si>
  <si>
    <t>Q1</t>
  </si>
  <si>
    <t>Q2</t>
  </si>
  <si>
    <t>Q3</t>
  </si>
  <si>
    <t>Q4</t>
  </si>
  <si>
    <t>Student 1</t>
  </si>
  <si>
    <t>Student 2</t>
  </si>
  <si>
    <t>Student 3</t>
  </si>
  <si>
    <t>Student 4</t>
  </si>
  <si>
    <t xml:space="preserve">Student 5 </t>
  </si>
  <si>
    <t>Student 6</t>
  </si>
  <si>
    <t>Student 7</t>
  </si>
  <si>
    <t>Student 8</t>
  </si>
  <si>
    <t>Student 9</t>
  </si>
  <si>
    <t>Student 10</t>
  </si>
  <si>
    <t xml:space="preserve">TOTAL ANSWERS </t>
  </si>
  <si>
    <t>Average</t>
  </si>
  <si>
    <t>Proficient</t>
  </si>
  <si>
    <t>Competent</t>
  </si>
  <si>
    <t xml:space="preserve">Advanced Beginner </t>
  </si>
  <si>
    <t>Novice</t>
  </si>
  <si>
    <t>Total</t>
  </si>
  <si>
    <t>Question 4</t>
  </si>
  <si>
    <t>GRAND TOTAL</t>
  </si>
  <si>
    <t>Total 4</t>
  </si>
  <si>
    <t>Total 3</t>
  </si>
  <si>
    <t>Total 2</t>
  </si>
  <si>
    <t>Total 1</t>
  </si>
  <si>
    <t>Student 11</t>
  </si>
  <si>
    <t>Student 12</t>
  </si>
  <si>
    <t>ONLINE COHORT</t>
  </si>
  <si>
    <t>MC</t>
  </si>
  <si>
    <t>Student 5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</si>
  <si>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</si>
  <si>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</si>
  <si>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</si>
  <si>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</si>
  <si>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</si>
  <si>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</si>
  <si>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</si>
  <si>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</si>
  <si>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</si>
  <si>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</si>
  <si>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</si>
  <si>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</si>
  <si>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</si>
  <si>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 xml:space="preserve">Proficient </t>
  </si>
  <si>
    <t>Competency: Written Communication Skills</t>
  </si>
  <si>
    <t>Professionalism</t>
  </si>
  <si>
    <t>Verbal Communication</t>
  </si>
  <si>
    <t xml:space="preserve">Competent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</si>
</sst>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i/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/>
      <right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0" xfId="0" applyFont="1"/>
    <xf borderId="2" fillId="3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9" xfId="0" applyAlignment="1" applyFont="1" applyNumberFormat="1">
      <alignment horizontal="center"/>
    </xf>
    <xf borderId="4" fillId="0" fontId="2" numFmtId="0" xfId="0" applyBorder="1" applyFont="1"/>
    <xf borderId="5" fillId="2" fontId="1" numFmtId="0" xfId="0" applyBorder="1" applyFont="1"/>
    <xf borderId="4" fillId="0" fontId="2" numFmtId="0" xfId="0" applyAlignment="1" applyBorder="1" applyFont="1">
      <alignment horizontal="left"/>
    </xf>
    <xf borderId="4" fillId="0" fontId="2" numFmtId="9" xfId="0" applyAlignment="1" applyBorder="1" applyFont="1" applyNumberFormat="1">
      <alignment horizontal="center"/>
    </xf>
    <xf borderId="4" fillId="0" fontId="2" numFmtId="9" xfId="0" applyBorder="1" applyFont="1" applyNumberFormat="1"/>
    <xf borderId="4" fillId="0" fontId="2" numFmtId="0" xfId="0" applyAlignment="1" applyBorder="1" applyFont="1">
      <alignment readingOrder="0"/>
    </xf>
    <xf borderId="6" fillId="2" fontId="2" numFmtId="0" xfId="0" applyBorder="1" applyFont="1"/>
    <xf borderId="6" fillId="2" fontId="1" numFmtId="9" xfId="0" applyAlignment="1" applyBorder="1" applyFont="1" applyNumberFormat="1">
      <alignment horizontal="center"/>
    </xf>
    <xf borderId="6" fillId="2" fontId="1" numFmtId="0" xfId="0" applyBorder="1" applyFont="1"/>
    <xf borderId="7" fillId="2" fontId="1" numFmtId="0" xfId="0" applyBorder="1" applyFont="1"/>
    <xf borderId="7" fillId="2" fontId="1" numFmtId="9" xfId="0" applyBorder="1" applyFont="1" applyNumberFormat="1"/>
    <xf borderId="4" fillId="2" fontId="2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9" xfId="0" applyBorder="1" applyFont="1" applyNumberFormat="1"/>
    <xf borderId="8" fillId="0" fontId="2" numFmtId="0" xfId="0" applyBorder="1" applyFont="1"/>
    <xf borderId="8" fillId="0" fontId="2" numFmtId="9" xfId="0" applyAlignment="1" applyBorder="1" applyFont="1" applyNumberFormat="1">
      <alignment horizontal="center"/>
    </xf>
    <xf borderId="9" fillId="0" fontId="1" numFmtId="0" xfId="0" applyBorder="1" applyFont="1"/>
    <xf borderId="2" fillId="2" fontId="2" numFmtId="0" xfId="0" applyBorder="1" applyFont="1"/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/>
    </xf>
    <xf borderId="3" fillId="2" fontId="1" numFmtId="0" xfId="0" applyBorder="1" applyFont="1"/>
    <xf borderId="4" fillId="2" fontId="2" numFmtId="0" xfId="0" applyAlignment="1" applyBorder="1" applyFont="1">
      <alignment horizontal="left" readingOrder="0"/>
    </xf>
    <xf borderId="4" fillId="2" fontId="2" numFmtId="9" xfId="0" applyAlignment="1" applyBorder="1" applyFont="1" applyNumberFormat="1">
      <alignment horizontal="center"/>
    </xf>
    <xf borderId="4" fillId="2" fontId="2" numFmtId="0" xfId="0" applyAlignment="1" applyBorder="1" applyFont="1">
      <alignment readingOrder="0"/>
    </xf>
    <xf borderId="4" fillId="2" fontId="2" numFmtId="0" xfId="0" applyBorder="1" applyFont="1"/>
    <xf borderId="4" fillId="2" fontId="3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10" fillId="2" fontId="1" numFmtId="0" xfId="0" applyBorder="1" applyFont="1"/>
    <xf borderId="4" fillId="2" fontId="2" numFmtId="9" xfId="0" applyBorder="1" applyFont="1" applyNumberFormat="1"/>
    <xf borderId="0" fillId="2" fontId="1" numFmtId="0" xfId="0" applyFont="1"/>
    <xf borderId="4" fillId="2" fontId="2" numFmtId="0" xfId="0" applyAlignment="1" applyBorder="1" applyFont="1">
      <alignment horizontal="left"/>
    </xf>
    <xf borderId="4" fillId="2" fontId="1" numFmtId="0" xfId="0" applyBorder="1" applyFont="1"/>
    <xf borderId="4" fillId="0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2.29"/>
    <col customWidth="1" min="3" max="3" width="16.43"/>
    <col customWidth="1" min="4" max="4" width="16.86"/>
    <col customWidth="1" min="5" max="5" width="18.43"/>
    <col customWidth="1" min="6" max="6" width="9.0"/>
    <col customWidth="1" min="7" max="26" width="8.71"/>
  </cols>
  <sheetData>
    <row r="1" ht="14.25" customHeight="1">
      <c r="A1" s="1"/>
      <c r="B1" s="1" t="s">
        <v>0</v>
      </c>
      <c r="C1" s="1"/>
      <c r="D1" s="1"/>
      <c r="E1" s="1"/>
      <c r="F1" s="1"/>
      <c r="G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2"/>
      <c r="H2" s="2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1.5" customHeight="1">
      <c r="A4" s="4" t="s">
        <v>1</v>
      </c>
      <c r="B4" s="4" t="s">
        <v>2</v>
      </c>
      <c r="C4" s="4" t="s">
        <v>3</v>
      </c>
      <c r="D4" s="4" t="s">
        <v>4</v>
      </c>
      <c r="E4" s="5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/>
      <c r="B5" s="8" t="s">
        <v>5</v>
      </c>
      <c r="C5" s="8" t="s">
        <v>6</v>
      </c>
      <c r="D5" s="8" t="s">
        <v>7</v>
      </c>
      <c r="E5" s="8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 t="s">
        <v>9</v>
      </c>
      <c r="B6" s="8">
        <v>4.0</v>
      </c>
      <c r="C6" s="8">
        <v>4.0</v>
      </c>
      <c r="D6" s="8">
        <v>4.0</v>
      </c>
      <c r="E6" s="8">
        <v>4.0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10</v>
      </c>
      <c r="B7" s="8">
        <v>4.0</v>
      </c>
      <c r="C7" s="8">
        <v>4.0</v>
      </c>
      <c r="D7" s="8">
        <v>4.0</v>
      </c>
      <c r="E7" s="8">
        <v>4.0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 t="s">
        <v>11</v>
      </c>
      <c r="B8" s="8">
        <v>4.0</v>
      </c>
      <c r="C8" s="8">
        <v>4.0</v>
      </c>
      <c r="D8" s="8">
        <v>4.0</v>
      </c>
      <c r="E8" s="8">
        <v>4.0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12</v>
      </c>
      <c r="B9" s="8">
        <v>4.0</v>
      </c>
      <c r="C9" s="8">
        <v>4.0</v>
      </c>
      <c r="D9" s="8">
        <v>4.0</v>
      </c>
      <c r="E9" s="8">
        <v>4.0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 t="s">
        <v>13</v>
      </c>
      <c r="B10" s="8">
        <v>4.0</v>
      </c>
      <c r="C10" s="8">
        <v>4.0</v>
      </c>
      <c r="D10" s="8">
        <v>4.0</v>
      </c>
      <c r="E10" s="8">
        <v>4.0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 t="s">
        <v>14</v>
      </c>
      <c r="B11" s="8">
        <v>4.0</v>
      </c>
      <c r="C11" s="8">
        <v>4.0</v>
      </c>
      <c r="D11" s="8">
        <v>4.0</v>
      </c>
      <c r="E11" s="8">
        <v>4.0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 t="s">
        <v>15</v>
      </c>
      <c r="B12" s="8">
        <v>4.0</v>
      </c>
      <c r="C12" s="8">
        <v>4.0</v>
      </c>
      <c r="D12" s="8">
        <v>4.0</v>
      </c>
      <c r="E12" s="8">
        <v>4.0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 t="s">
        <v>16</v>
      </c>
      <c r="B13" s="8">
        <v>4.0</v>
      </c>
      <c r="C13" s="8">
        <v>4.0</v>
      </c>
      <c r="D13" s="8">
        <v>4.0</v>
      </c>
      <c r="E13" s="8">
        <v>4.0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 t="s">
        <v>17</v>
      </c>
      <c r="B14" s="8">
        <v>4.0</v>
      </c>
      <c r="C14" s="8">
        <v>4.0</v>
      </c>
      <c r="D14" s="8">
        <v>4.0</v>
      </c>
      <c r="E14" s="8">
        <v>4.0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 t="s">
        <v>18</v>
      </c>
      <c r="B15" s="8">
        <v>4.0</v>
      </c>
      <c r="C15" s="8">
        <v>4.0</v>
      </c>
      <c r="D15" s="8">
        <v>4.0</v>
      </c>
      <c r="E15" s="8">
        <v>4.0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 t="s">
        <v>19</v>
      </c>
      <c r="B16" s="10">
        <f t="shared" ref="B16:E16" si="1">COUNT(B6:B15)</f>
        <v>10</v>
      </c>
      <c r="C16" s="10">
        <f t="shared" si="1"/>
        <v>10</v>
      </c>
      <c r="D16" s="10">
        <f t="shared" si="1"/>
        <v>10</v>
      </c>
      <c r="E16" s="10">
        <f t="shared" si="1"/>
        <v>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20</v>
      </c>
      <c r="B17" s="12">
        <f t="shared" ref="B17:E17" si="2">AVERAGE(B6:B15)</f>
        <v>4</v>
      </c>
      <c r="C17" s="12">
        <f t="shared" si="2"/>
        <v>4</v>
      </c>
      <c r="D17" s="12">
        <f t="shared" si="2"/>
        <v>4</v>
      </c>
      <c r="E17" s="12">
        <f t="shared" si="2"/>
        <v>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"/>
      <c r="B18" s="14"/>
      <c r="C18" s="14"/>
      <c r="D18" s="14"/>
      <c r="E18" s="14"/>
      <c r="F18" s="15" t="s">
        <v>20</v>
      </c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7" t="s">
        <v>21</v>
      </c>
      <c r="B19" s="18">
        <f>COUNTIF($B$6:$B$15,4)/$B$16</f>
        <v>1</v>
      </c>
      <c r="C19" s="18">
        <f>COUNTIF($C$6:$C$15,4)/$C$16</f>
        <v>1</v>
      </c>
      <c r="D19" s="18">
        <f>COUNTIF($D$6:$D$15,4)/$D$16</f>
        <v>1</v>
      </c>
      <c r="E19" s="18">
        <f>COUNTIF($E$6:$E$15,4)/$E$16</f>
        <v>1</v>
      </c>
      <c r="F19" s="19">
        <f t="shared" ref="F19:F22" si="3">AVERAGE(B19:E19)</f>
        <v>1</v>
      </c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5" t="s">
        <v>22</v>
      </c>
      <c r="B20" s="18">
        <f>COUNTIF($B$6:$B$15,3)/$B$16</f>
        <v>0</v>
      </c>
      <c r="C20" s="18">
        <f>COUNTIF($C$6:$C$15,3)/$C$16</f>
        <v>0</v>
      </c>
      <c r="D20" s="18">
        <f>COUNTIF($D$6:$D$15,3)/$D$16</f>
        <v>0</v>
      </c>
      <c r="E20" s="18">
        <f>COUNTIF($E$6:$E$15,3)/$E$16</f>
        <v>0</v>
      </c>
      <c r="F20" s="19">
        <f t="shared" si="3"/>
        <v>0</v>
      </c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5" t="s">
        <v>23</v>
      </c>
      <c r="B21" s="18">
        <f>COUNTIF($B$6:$B$15,2)/$B$16</f>
        <v>0</v>
      </c>
      <c r="C21" s="18">
        <f>COUNTIF($C$6:$C$15,2)/$C$16</f>
        <v>0</v>
      </c>
      <c r="D21" s="18">
        <f>COUNTIF($D$6:$D$15,2)/$D$16</f>
        <v>0</v>
      </c>
      <c r="E21" s="18">
        <f>COUNTIF($E$6:$E$15,2)/$E$16</f>
        <v>0</v>
      </c>
      <c r="F21" s="19">
        <f t="shared" si="3"/>
        <v>0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0" t="s">
        <v>24</v>
      </c>
      <c r="B22" s="18">
        <f>COUNTIF($B$6:$B$15,1)/$B$16</f>
        <v>0</v>
      </c>
      <c r="C22" s="18">
        <f>COUNTIF($C$6:$C$15,1)/$C$16</f>
        <v>0</v>
      </c>
      <c r="D22" s="18">
        <f>COUNTIF($D$6:$D$15,1)/$D$16</f>
        <v>0</v>
      </c>
      <c r="E22" s="18">
        <f>COUNTIF($E$6:$E$15,1)/$E$16</f>
        <v>0</v>
      </c>
      <c r="F22" s="19">
        <f t="shared" si="3"/>
        <v>0</v>
      </c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5" t="s">
        <v>25</v>
      </c>
      <c r="B23" s="18">
        <f t="shared" ref="B23:E23" si="4">SUM(B19:B22)</f>
        <v>1</v>
      </c>
      <c r="C23" s="18">
        <f t="shared" si="4"/>
        <v>1</v>
      </c>
      <c r="D23" s="18">
        <f t="shared" si="4"/>
        <v>1</v>
      </c>
      <c r="E23" s="18">
        <f t="shared" si="4"/>
        <v>1</v>
      </c>
      <c r="F23" s="15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1"/>
      <c r="B24" s="22"/>
      <c r="C24" s="22"/>
      <c r="D24" s="22"/>
      <c r="E24" s="22"/>
      <c r="F24" s="2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4"/>
      <c r="B26" s="25"/>
      <c r="C26" s="24"/>
      <c r="D26" s="24"/>
      <c r="E26" s="2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.0" customHeight="1">
      <c r="A27" s="26"/>
      <c r="B27" s="26" t="s">
        <v>2</v>
      </c>
      <c r="C27" s="26" t="s">
        <v>3</v>
      </c>
      <c r="D27" s="26" t="s">
        <v>4</v>
      </c>
      <c r="E27" s="26" t="s">
        <v>26</v>
      </c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7" t="s">
        <v>27</v>
      </c>
      <c r="B28" s="28">
        <f t="shared" ref="B28:E28" si="5">B16</f>
        <v>10</v>
      </c>
      <c r="C28" s="28">
        <f t="shared" si="5"/>
        <v>10</v>
      </c>
      <c r="D28" s="28">
        <f t="shared" si="5"/>
        <v>10</v>
      </c>
      <c r="E28" s="28">
        <f t="shared" si="5"/>
        <v>10</v>
      </c>
      <c r="F28" s="1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5" t="s">
        <v>28</v>
      </c>
      <c r="B29" s="28">
        <f>COUNTIF($B$6:$B$15,4)</f>
        <v>10</v>
      </c>
      <c r="C29" s="29">
        <f>COUNTIF($C$6:$C$15,4)</f>
        <v>10</v>
      </c>
      <c r="D29" s="29">
        <f>COUNTIF($D$6:$D$15,4)</f>
        <v>10</v>
      </c>
      <c r="E29" s="29">
        <f>COUNTIF($E$6:$E$15,4)</f>
        <v>10</v>
      </c>
      <c r="F29" s="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5" t="s">
        <v>29</v>
      </c>
      <c r="B30" s="28">
        <f>COUNTIF($B$6:$B$15,3)</f>
        <v>0</v>
      </c>
      <c r="C30" s="29">
        <f>COUNTIF($C$6:$C$15,3)</f>
        <v>0</v>
      </c>
      <c r="D30" s="29">
        <f>COUNTIF($D$6:$D$15,3)</f>
        <v>0</v>
      </c>
      <c r="E30" s="29">
        <f>COUNTIF($E$6:$E$15,3)</f>
        <v>0</v>
      </c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5" t="s">
        <v>30</v>
      </c>
      <c r="B31" s="28">
        <f>COUNTIF($B$6:$B$15,2)</f>
        <v>0</v>
      </c>
      <c r="C31" s="29">
        <f>COUNTIF($C$6:$C$15,2)</f>
        <v>0</v>
      </c>
      <c r="D31" s="29">
        <f>COUNTIF($D$6:$D$15,2)</f>
        <v>0</v>
      </c>
      <c r="E31" s="29">
        <f>COUNTIF($E$6:$E$15,2)</f>
        <v>0</v>
      </c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5" t="s">
        <v>31</v>
      </c>
      <c r="B32" s="28">
        <f>COUNTIF($B$6:$B$15,1)</f>
        <v>0</v>
      </c>
      <c r="C32" s="29">
        <f>COUNTIF($C$6:$C$15,1)</f>
        <v>0</v>
      </c>
      <c r="D32" s="29">
        <f>COUNTIF($D$6:$D$15,1)</f>
        <v>0</v>
      </c>
      <c r="E32" s="29">
        <f>COUNTIF($E$6:$E$15,1)</f>
        <v>0</v>
      </c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7" t="s">
        <v>21</v>
      </c>
      <c r="B33" s="18">
        <f t="shared" ref="B33:B36" si="6">B29/$B$28</f>
        <v>1</v>
      </c>
      <c r="C33" s="18">
        <f t="shared" ref="C33:C36" si="7">C29/$C$28</f>
        <v>1</v>
      </c>
      <c r="D33" s="18">
        <f t="shared" ref="D33:D36" si="8">D29/$D$28</f>
        <v>1</v>
      </c>
      <c r="E33" s="18">
        <f t="shared" ref="E33:E36" si="9">E29/$E$28</f>
        <v>1</v>
      </c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5" t="s">
        <v>22</v>
      </c>
      <c r="B34" s="18">
        <f t="shared" si="6"/>
        <v>0</v>
      </c>
      <c r="C34" s="18">
        <f t="shared" si="7"/>
        <v>0</v>
      </c>
      <c r="D34" s="18">
        <f t="shared" si="8"/>
        <v>0</v>
      </c>
      <c r="E34" s="18">
        <f t="shared" si="9"/>
        <v>0</v>
      </c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5" t="s">
        <v>23</v>
      </c>
      <c r="B35" s="18">
        <f t="shared" si="6"/>
        <v>0</v>
      </c>
      <c r="C35" s="18">
        <f t="shared" si="7"/>
        <v>0</v>
      </c>
      <c r="D35" s="18">
        <f t="shared" si="8"/>
        <v>0</v>
      </c>
      <c r="E35" s="18">
        <f t="shared" si="9"/>
        <v>0</v>
      </c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5" t="s">
        <v>24</v>
      </c>
      <c r="B36" s="18">
        <f t="shared" si="6"/>
        <v>0</v>
      </c>
      <c r="C36" s="18">
        <f t="shared" si="7"/>
        <v>0</v>
      </c>
      <c r="D36" s="18">
        <f t="shared" si="8"/>
        <v>0</v>
      </c>
      <c r="E36" s="18">
        <f t="shared" si="9"/>
        <v>0</v>
      </c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3"/>
      <c r="B37" s="3"/>
      <c r="C37" s="3"/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2.29"/>
    <col customWidth="1" min="3" max="3" width="16.43"/>
    <col customWidth="1" min="4" max="4" width="16.86"/>
    <col customWidth="1" min="5" max="5" width="18.43"/>
    <col customWidth="1" min="6" max="6" width="9.0"/>
    <col customWidth="1" min="7" max="26" width="8.71"/>
  </cols>
  <sheetData>
    <row r="1" ht="14.25" customHeight="1">
      <c r="A1" s="1"/>
      <c r="B1" s="1" t="s">
        <v>0</v>
      </c>
      <c r="C1" s="1"/>
      <c r="D1" s="1"/>
      <c r="E1" s="1"/>
      <c r="F1" s="1"/>
      <c r="G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2"/>
      <c r="H2" s="2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3.0" customHeight="1">
      <c r="A4" s="4" t="s">
        <v>1</v>
      </c>
      <c r="B4" s="4" t="s">
        <v>2</v>
      </c>
      <c r="C4" s="4" t="s">
        <v>3</v>
      </c>
      <c r="D4" s="4" t="s">
        <v>4</v>
      </c>
      <c r="E4" s="5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/>
      <c r="B5" s="8" t="s">
        <v>5</v>
      </c>
      <c r="C5" s="8" t="s">
        <v>6</v>
      </c>
      <c r="D5" s="8" t="s">
        <v>7</v>
      </c>
      <c r="E5" s="8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 t="s">
        <v>9</v>
      </c>
      <c r="B6" s="8">
        <v>4.0</v>
      </c>
      <c r="C6" s="8">
        <v>4.0</v>
      </c>
      <c r="D6" s="8">
        <v>4.0</v>
      </c>
      <c r="E6" s="8">
        <v>4.0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10</v>
      </c>
      <c r="B7" s="8">
        <v>4.0</v>
      </c>
      <c r="C7" s="8">
        <v>4.0</v>
      </c>
      <c r="D7" s="8">
        <v>4.0</v>
      </c>
      <c r="E7" s="8">
        <v>4.0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 t="s">
        <v>11</v>
      </c>
      <c r="B8" s="8">
        <v>4.0</v>
      </c>
      <c r="C8" s="8">
        <v>4.0</v>
      </c>
      <c r="D8" s="8">
        <v>4.0</v>
      </c>
      <c r="E8" s="8">
        <v>4.0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12</v>
      </c>
      <c r="B9" s="8">
        <v>4.0</v>
      </c>
      <c r="C9" s="8">
        <v>4.0</v>
      </c>
      <c r="D9" s="8">
        <v>4.0</v>
      </c>
      <c r="E9" s="8">
        <v>4.0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 t="s">
        <v>13</v>
      </c>
      <c r="B10" s="8">
        <v>4.0</v>
      </c>
      <c r="C10" s="8">
        <v>4.0</v>
      </c>
      <c r="D10" s="8">
        <v>4.0</v>
      </c>
      <c r="E10" s="8">
        <v>4.0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 t="s">
        <v>14</v>
      </c>
      <c r="B11" s="8">
        <v>4.0</v>
      </c>
      <c r="C11" s="8">
        <v>4.0</v>
      </c>
      <c r="D11" s="8">
        <v>4.0</v>
      </c>
      <c r="E11" s="8">
        <v>4.0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 t="s">
        <v>15</v>
      </c>
      <c r="B12" s="8">
        <v>4.0</v>
      </c>
      <c r="C12" s="8">
        <v>4.0</v>
      </c>
      <c r="D12" s="8">
        <v>4.0</v>
      </c>
      <c r="E12" s="8">
        <v>4.0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 t="s">
        <v>16</v>
      </c>
      <c r="B13" s="8">
        <v>4.0</v>
      </c>
      <c r="C13" s="8">
        <v>4.0</v>
      </c>
      <c r="D13" s="8">
        <v>4.0</v>
      </c>
      <c r="E13" s="8">
        <v>4.0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 t="s">
        <v>17</v>
      </c>
      <c r="B14" s="8">
        <v>4.0</v>
      </c>
      <c r="C14" s="8">
        <v>4.0</v>
      </c>
      <c r="D14" s="8">
        <v>4.0</v>
      </c>
      <c r="E14" s="8">
        <v>4.0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 t="s">
        <v>18</v>
      </c>
      <c r="B15" s="8">
        <v>4.0</v>
      </c>
      <c r="C15" s="8">
        <v>4.0</v>
      </c>
      <c r="D15" s="8">
        <v>4.0</v>
      </c>
      <c r="E15" s="8">
        <v>4.0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 t="s">
        <v>32</v>
      </c>
      <c r="B16" s="8">
        <v>4.0</v>
      </c>
      <c r="C16" s="8">
        <v>4.0</v>
      </c>
      <c r="D16" s="8">
        <v>4.0</v>
      </c>
      <c r="E16" s="8">
        <v>4.0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 t="s">
        <v>33</v>
      </c>
      <c r="B17" s="8">
        <v>4.0</v>
      </c>
      <c r="C17" s="8">
        <v>4.0</v>
      </c>
      <c r="D17" s="8">
        <v>4.0</v>
      </c>
      <c r="E17" s="8">
        <v>4.0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19</v>
      </c>
      <c r="B18" s="10">
        <f t="shared" ref="B18:E18" si="1">COUNT(B6:B17)</f>
        <v>12</v>
      </c>
      <c r="C18" s="10">
        <f t="shared" si="1"/>
        <v>12</v>
      </c>
      <c r="D18" s="10">
        <f t="shared" si="1"/>
        <v>12</v>
      </c>
      <c r="E18" s="10">
        <f t="shared" si="1"/>
        <v>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20</v>
      </c>
      <c r="B19" s="12">
        <f t="shared" ref="B19:E19" si="2">AVERAGE(B6:B17)</f>
        <v>4</v>
      </c>
      <c r="C19" s="12">
        <f t="shared" si="2"/>
        <v>4</v>
      </c>
      <c r="D19" s="12">
        <f t="shared" si="2"/>
        <v>4</v>
      </c>
      <c r="E19" s="12">
        <f t="shared" si="2"/>
        <v>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3"/>
      <c r="B20" s="14"/>
      <c r="C20" s="14"/>
      <c r="D20" s="14"/>
      <c r="E20" s="14"/>
      <c r="F20" s="15" t="s">
        <v>20</v>
      </c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7" t="s">
        <v>21</v>
      </c>
      <c r="B21" s="18">
        <f>COUNTIF($B$6:$B$17,4)/$B$18</f>
        <v>1</v>
      </c>
      <c r="C21" s="18">
        <f>COUNTIF($C$6:$C$17,4)/$C$18</f>
        <v>1</v>
      </c>
      <c r="D21" s="18">
        <f>COUNTIF($D$6:$D$17,4)/$D$18</f>
        <v>1</v>
      </c>
      <c r="E21" s="18">
        <f>COUNTIF($E$6:$E$17,4)/$E$18</f>
        <v>1</v>
      </c>
      <c r="F21" s="19">
        <f t="shared" ref="F21:F24" si="3">AVERAGE(B21:E21)</f>
        <v>1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5" t="s">
        <v>22</v>
      </c>
      <c r="B22" s="18">
        <f>COUNTIF($B$6:$B$17,3)/$B$18</f>
        <v>0</v>
      </c>
      <c r="C22" s="18">
        <f>COUNTIF($C$6:$C$17,3)/$C$18</f>
        <v>0</v>
      </c>
      <c r="D22" s="18">
        <f>COUNTIF($D$6:$D$17,3)/$D$18</f>
        <v>0</v>
      </c>
      <c r="E22" s="18">
        <f>COUNTIF($E$6:$E$17,3)/$E$18</f>
        <v>0</v>
      </c>
      <c r="F22" s="19">
        <f t="shared" si="3"/>
        <v>0</v>
      </c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5" t="s">
        <v>23</v>
      </c>
      <c r="B23" s="18">
        <f>COUNTIF($B$6:$B$17,2)/$B$18</f>
        <v>0</v>
      </c>
      <c r="C23" s="18">
        <f>COUNTIF($C$6:$C$17,2)/$C$18</f>
        <v>0</v>
      </c>
      <c r="D23" s="18">
        <f>COUNTIF($D$6:$D$17,2)/$D$18</f>
        <v>0</v>
      </c>
      <c r="E23" s="18">
        <f>COUNTIF($E$6:$E$17,2)/$E$18</f>
        <v>0</v>
      </c>
      <c r="F23" s="19">
        <f t="shared" si="3"/>
        <v>0</v>
      </c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5" t="s">
        <v>24</v>
      </c>
      <c r="B24" s="18">
        <f>COUNTIF($B$6:$B$17,1)/$B$18</f>
        <v>0</v>
      </c>
      <c r="C24" s="18">
        <f>COUNTIF($C$6:$C$17,1)/$C$18</f>
        <v>0</v>
      </c>
      <c r="D24" s="18">
        <f>COUNTIF($D$6:$D$17,1)/$D$18</f>
        <v>0</v>
      </c>
      <c r="E24" s="18">
        <f>COUNTIF($E$6:$E$17,1)/$E$18</f>
        <v>0</v>
      </c>
      <c r="F24" s="19">
        <f t="shared" si="3"/>
        <v>0</v>
      </c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5" t="s">
        <v>25</v>
      </c>
      <c r="B25" s="18">
        <f t="shared" ref="B25:E25" si="4">SUM(B21:B24)</f>
        <v>1</v>
      </c>
      <c r="C25" s="18">
        <f t="shared" si="4"/>
        <v>1</v>
      </c>
      <c r="D25" s="18">
        <f t="shared" si="4"/>
        <v>1</v>
      </c>
      <c r="E25" s="18">
        <f t="shared" si="4"/>
        <v>1</v>
      </c>
      <c r="F25" s="15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1"/>
      <c r="B26" s="22"/>
      <c r="C26" s="22"/>
      <c r="D26" s="22"/>
      <c r="E26" s="22"/>
      <c r="F26" s="2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3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5.0" customHeight="1">
      <c r="A29" s="26"/>
      <c r="B29" s="26" t="s">
        <v>2</v>
      </c>
      <c r="C29" s="26" t="s">
        <v>3</v>
      </c>
      <c r="D29" s="26" t="s">
        <v>4</v>
      </c>
      <c r="E29" s="26" t="s">
        <v>26</v>
      </c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7" t="s">
        <v>27</v>
      </c>
      <c r="B30" s="28">
        <f t="shared" ref="B30:E30" si="5">B18</f>
        <v>12</v>
      </c>
      <c r="C30" s="28">
        <f t="shared" si="5"/>
        <v>12</v>
      </c>
      <c r="D30" s="28">
        <f t="shared" si="5"/>
        <v>12</v>
      </c>
      <c r="E30" s="28">
        <f t="shared" si="5"/>
        <v>12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5" t="s">
        <v>28</v>
      </c>
      <c r="B31" s="28">
        <f>COUNTIF($B$6:$B$17,4)</f>
        <v>12</v>
      </c>
      <c r="C31" s="28">
        <f>COUNTIF($C$6:$C$17,4)</f>
        <v>12</v>
      </c>
      <c r="D31" s="28">
        <f>COUNTIF($D$6:$D$17,4)</f>
        <v>12</v>
      </c>
      <c r="E31" s="28">
        <f>COUNTIF($E$6:$E$17,4)</f>
        <v>12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5" t="s">
        <v>29</v>
      </c>
      <c r="B32" s="28">
        <f>COUNTIF($B$6:$B$17,3)</f>
        <v>0</v>
      </c>
      <c r="C32" s="28">
        <f>COUNTIF($C$6:$C$17,3)</f>
        <v>0</v>
      </c>
      <c r="D32" s="28">
        <f>COUNTIF($D$6:$D$17,3)</f>
        <v>0</v>
      </c>
      <c r="E32" s="28">
        <f>COUNTIF($E$6:$E$17,3)</f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5" t="s">
        <v>30</v>
      </c>
      <c r="B33" s="28">
        <f>COUNTIF($B$6:$B$17,2)</f>
        <v>0</v>
      </c>
      <c r="C33" s="28">
        <f>COUNTIF($C$6:$C$17,2)</f>
        <v>0</v>
      </c>
      <c r="D33" s="28">
        <f>COUNTIF($D$6:$D$17,2)</f>
        <v>0</v>
      </c>
      <c r="E33" s="28">
        <f>COUNTIF($E$6:$E$17,2)</f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5" t="s">
        <v>31</v>
      </c>
      <c r="B34" s="28">
        <f>COUNTIF($B$6:$B$17,1)</f>
        <v>0</v>
      </c>
      <c r="C34" s="28">
        <f>COUNTIF($C$6:$C$17,1)</f>
        <v>0</v>
      </c>
      <c r="D34" s="28">
        <f>COUNTIF($D$6:$D$17,1)</f>
        <v>0</v>
      </c>
      <c r="E34" s="28">
        <f>COUNTIF($E$6:$E$17,1)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7" t="s">
        <v>21</v>
      </c>
      <c r="B35" s="18">
        <f t="shared" ref="B35:B38" si="6">B31/$B$30</f>
        <v>1</v>
      </c>
      <c r="C35" s="18">
        <f t="shared" ref="C35:C38" si="7">C31/$C$30</f>
        <v>1</v>
      </c>
      <c r="D35" s="18">
        <f t="shared" ref="D35:D38" si="8">D31/$D$30</f>
        <v>1</v>
      </c>
      <c r="E35" s="18">
        <f t="shared" ref="E35:E38" si="9">E31/$E$30</f>
        <v>1</v>
      </c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5" t="s">
        <v>22</v>
      </c>
      <c r="B36" s="18">
        <f t="shared" si="6"/>
        <v>0</v>
      </c>
      <c r="C36" s="18">
        <f t="shared" si="7"/>
        <v>0</v>
      </c>
      <c r="D36" s="18">
        <f t="shared" si="8"/>
        <v>0</v>
      </c>
      <c r="E36" s="18">
        <f t="shared" si="9"/>
        <v>0</v>
      </c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5" t="s">
        <v>23</v>
      </c>
      <c r="B37" s="18">
        <f t="shared" si="6"/>
        <v>0</v>
      </c>
      <c r="C37" s="18">
        <f t="shared" si="7"/>
        <v>0</v>
      </c>
      <c r="D37" s="18">
        <f t="shared" si="8"/>
        <v>0</v>
      </c>
      <c r="E37" s="18">
        <f t="shared" si="9"/>
        <v>0</v>
      </c>
      <c r="F37" s="1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32" t="s">
        <v>24</v>
      </c>
      <c r="B38" s="33">
        <f t="shared" si="6"/>
        <v>0</v>
      </c>
      <c r="C38" s="33">
        <f t="shared" si="7"/>
        <v>0</v>
      </c>
      <c r="D38" s="33">
        <f t="shared" si="8"/>
        <v>0</v>
      </c>
      <c r="E38" s="33">
        <f t="shared" si="9"/>
        <v>0</v>
      </c>
      <c r="F38" s="1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34"/>
      <c r="B39" s="34"/>
      <c r="C39" s="34"/>
      <c r="D39" s="34"/>
      <c r="E39" s="34"/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3"/>
      <c r="B40" s="23"/>
      <c r="C40" s="23"/>
      <c r="D40" s="23"/>
      <c r="E40" s="2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2.43"/>
    <col customWidth="1" min="3" max="3" width="17.71"/>
    <col customWidth="1" min="4" max="4" width="21.71"/>
    <col customWidth="1" min="5" max="5" width="9.0"/>
    <col customWidth="1" min="6" max="24" width="8.71"/>
  </cols>
  <sheetData>
    <row r="1" ht="14.25" customHeight="1">
      <c r="A1" s="1"/>
      <c r="B1" s="1"/>
      <c r="C1" s="1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75.0" customHeight="1">
      <c r="A3" s="35" t="s">
        <v>35</v>
      </c>
      <c r="B3" s="4" t="s">
        <v>2</v>
      </c>
      <c r="C3" s="4" t="s">
        <v>3</v>
      </c>
      <c r="D3" s="4" t="s">
        <v>4</v>
      </c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4.25" customHeight="1">
      <c r="A4" s="7"/>
      <c r="B4" s="8" t="s">
        <v>5</v>
      </c>
      <c r="C4" s="8" t="s">
        <v>6</v>
      </c>
      <c r="D4" s="8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25" customHeight="1">
      <c r="A5" s="7" t="s">
        <v>9</v>
      </c>
      <c r="B5" s="8">
        <v>4.0</v>
      </c>
      <c r="C5" s="8">
        <v>4.0</v>
      </c>
      <c r="D5" s="8">
        <v>4.0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>
      <c r="A6" s="7" t="s">
        <v>10</v>
      </c>
      <c r="B6" s="8">
        <v>4.0</v>
      </c>
      <c r="C6" s="8">
        <v>4.0</v>
      </c>
      <c r="D6" s="8">
        <v>4.0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4.25" customHeight="1">
      <c r="A7" s="7" t="s">
        <v>11</v>
      </c>
      <c r="B7" s="8">
        <v>4.0</v>
      </c>
      <c r="C7" s="8">
        <v>4.0</v>
      </c>
      <c r="D7" s="8">
        <v>4.0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4.25" customHeight="1">
      <c r="A8" s="7" t="s">
        <v>12</v>
      </c>
      <c r="B8" s="8">
        <v>4.0</v>
      </c>
      <c r="C8" s="8">
        <v>4.0</v>
      </c>
      <c r="D8" s="8">
        <v>4.0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4.25" customHeight="1">
      <c r="A9" s="7" t="s">
        <v>36</v>
      </c>
      <c r="B9" s="8">
        <v>4.0</v>
      </c>
      <c r="C9" s="8">
        <v>4.0</v>
      </c>
      <c r="D9" s="8">
        <v>4.0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4.25" customHeight="1">
      <c r="A10" s="7" t="s">
        <v>14</v>
      </c>
      <c r="B10" s="36">
        <v>4.0</v>
      </c>
      <c r="C10" s="8">
        <v>4.0</v>
      </c>
      <c r="D10" s="8">
        <v>4.0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4.25" customHeight="1">
      <c r="A11" s="7" t="s">
        <v>15</v>
      </c>
      <c r="B11" s="8">
        <v>4.0</v>
      </c>
      <c r="C11" s="8">
        <v>4.0</v>
      </c>
      <c r="D11" s="8">
        <v>4.0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4.25" customHeight="1">
      <c r="A12" s="7" t="s">
        <v>16</v>
      </c>
      <c r="B12" s="8">
        <v>4.0</v>
      </c>
      <c r="C12" s="8">
        <v>4.0</v>
      </c>
      <c r="D12" s="8">
        <v>4.0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4.25" customHeight="1">
      <c r="A13" s="7" t="s">
        <v>17</v>
      </c>
      <c r="B13" s="8">
        <v>4.0</v>
      </c>
      <c r="C13" s="8">
        <v>4.0</v>
      </c>
      <c r="D13" s="8">
        <v>4.0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4.25" customHeight="1">
      <c r="A14" s="7" t="s">
        <v>18</v>
      </c>
      <c r="B14" s="8">
        <v>4.0</v>
      </c>
      <c r="C14" s="8">
        <v>4.0</v>
      </c>
      <c r="D14" s="8">
        <v>4.0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4.25" customHeight="1">
      <c r="A15" s="7" t="s">
        <v>32</v>
      </c>
      <c r="B15" s="8">
        <v>4.0</v>
      </c>
      <c r="C15" s="8">
        <v>4.0</v>
      </c>
      <c r="D15" s="8">
        <v>4.0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4.25" customHeight="1">
      <c r="A16" s="7" t="s">
        <v>33</v>
      </c>
      <c r="B16" s="8">
        <v>4.0</v>
      </c>
      <c r="C16" s="8">
        <v>4.0</v>
      </c>
      <c r="D16" s="8">
        <v>4.0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4.25" customHeight="1">
      <c r="A17" s="7" t="s">
        <v>37</v>
      </c>
      <c r="B17" s="8">
        <v>3.0</v>
      </c>
      <c r="C17" s="36">
        <v>4.0</v>
      </c>
      <c r="D17" s="36">
        <v>4.0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4.25" customHeight="1">
      <c r="A18" s="7" t="s">
        <v>38</v>
      </c>
      <c r="B18" s="8">
        <v>4.0</v>
      </c>
      <c r="C18" s="8">
        <v>4.0</v>
      </c>
      <c r="D18" s="8">
        <v>4.0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4.25" customHeight="1">
      <c r="A19" s="7" t="s">
        <v>39</v>
      </c>
      <c r="B19" s="8">
        <v>4.0</v>
      </c>
      <c r="C19" s="8">
        <v>4.0</v>
      </c>
      <c r="D19" s="8">
        <v>4.0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>
      <c r="A20" s="7" t="s">
        <v>40</v>
      </c>
      <c r="B20" s="8">
        <v>4.0</v>
      </c>
      <c r="C20" s="8">
        <v>4.0</v>
      </c>
      <c r="D20" s="8">
        <v>4.0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>
      <c r="A21" s="7" t="s">
        <v>41</v>
      </c>
      <c r="B21" s="8">
        <v>4.0</v>
      </c>
      <c r="C21" s="8">
        <v>4.0</v>
      </c>
      <c r="D21" s="8">
        <v>4.0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7" t="s">
        <v>42</v>
      </c>
      <c r="B22" s="8">
        <v>3.0</v>
      </c>
      <c r="C22" s="8">
        <v>3.0</v>
      </c>
      <c r="D22" s="8">
        <v>3.0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>
      <c r="A23" s="7" t="s">
        <v>43</v>
      </c>
      <c r="B23" s="8">
        <v>4.0</v>
      </c>
      <c r="C23" s="8">
        <v>4.0</v>
      </c>
      <c r="D23" s="8">
        <v>3.0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>
      <c r="A24" s="7" t="s">
        <v>44</v>
      </c>
      <c r="B24" s="8">
        <v>4.0</v>
      </c>
      <c r="C24" s="8">
        <v>4.0</v>
      </c>
      <c r="D24" s="8">
        <v>4.0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25" customHeight="1">
      <c r="A25" s="7" t="s">
        <v>45</v>
      </c>
      <c r="B25" s="36">
        <v>4.0</v>
      </c>
      <c r="C25" s="8">
        <v>4.0</v>
      </c>
      <c r="D25" s="8">
        <v>4.0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25" customHeight="1">
      <c r="A26" s="7" t="s">
        <v>46</v>
      </c>
      <c r="B26" s="8">
        <v>4.0</v>
      </c>
      <c r="C26" s="8">
        <v>3.0</v>
      </c>
      <c r="D26" s="36">
        <v>3.0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25" customHeight="1">
      <c r="A27" s="7" t="s">
        <v>47</v>
      </c>
      <c r="B27" s="8">
        <v>4.0</v>
      </c>
      <c r="C27" s="8">
        <v>4.0</v>
      </c>
      <c r="D27" s="8">
        <v>4.0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25" customHeight="1">
      <c r="A28" s="7" t="s">
        <v>48</v>
      </c>
      <c r="B28" s="8">
        <v>4.0</v>
      </c>
      <c r="C28" s="8">
        <v>4.0</v>
      </c>
      <c r="D28" s="8">
        <v>4.0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25" customHeight="1">
      <c r="A29" s="7" t="s">
        <v>49</v>
      </c>
      <c r="B29" s="8">
        <v>4.0</v>
      </c>
      <c r="C29" s="8">
        <v>4.0</v>
      </c>
      <c r="D29" s="8">
        <v>4.0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25" customHeight="1">
      <c r="A30" s="35" t="s">
        <v>19</v>
      </c>
      <c r="B30" s="37">
        <f t="shared" ref="B30:D30" si="1">COUNT(B5:B29)</f>
        <v>25</v>
      </c>
      <c r="C30" s="37">
        <f t="shared" si="1"/>
        <v>25</v>
      </c>
      <c r="D30" s="37">
        <f t="shared" si="1"/>
        <v>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38"/>
      <c r="B31" s="38"/>
      <c r="C31" s="38"/>
      <c r="D31" s="38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25" customHeight="1">
      <c r="A32" s="38"/>
      <c r="B32" s="38"/>
      <c r="C32" s="38"/>
      <c r="D32" s="38"/>
      <c r="E32" s="15" t="s">
        <v>20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25" customHeight="1">
      <c r="A33" s="39" t="s">
        <v>50</v>
      </c>
      <c r="B33" s="40">
        <f>COUNTIF($B$5:$B$29,4)/B30</f>
        <v>0.92</v>
      </c>
      <c r="C33" s="40">
        <f>COUNTIF($C$5:$C$29,4)/$C$30</f>
        <v>0.92</v>
      </c>
      <c r="D33" s="40">
        <f>COUNTIF($D$5:$D$29,4)/$D$30</f>
        <v>0.88</v>
      </c>
      <c r="E33" s="19">
        <f t="shared" ref="E33:E36" si="2">AVERAGE(B33:D33)</f>
        <v>0.9066666667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25" customHeight="1">
      <c r="A34" s="41" t="s">
        <v>22</v>
      </c>
      <c r="B34" s="40">
        <f>COUNTIF($B$5:$B$29,3)/$B$30</f>
        <v>0.08</v>
      </c>
      <c r="C34" s="40">
        <f>COUNTIF($C$5:$C$29,3)/$C$30</f>
        <v>0.08</v>
      </c>
      <c r="D34" s="40">
        <f>COUNTIF($D$5:$D$29,3)/$D$30</f>
        <v>0.12</v>
      </c>
      <c r="E34" s="19">
        <f t="shared" si="2"/>
        <v>0.09333333333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25" customHeight="1">
      <c r="A35" s="42" t="s">
        <v>23</v>
      </c>
      <c r="B35" s="40">
        <f>COUNTIF($B$5:$B$29,2)/$B$30</f>
        <v>0</v>
      </c>
      <c r="C35" s="40">
        <f>COUNTIF($C$5:$C$29,2)/$C$30</f>
        <v>0</v>
      </c>
      <c r="D35" s="40">
        <f>COUNTIF($D$5:$D$29,2)/$D$30</f>
        <v>0</v>
      </c>
      <c r="E35" s="19">
        <f t="shared" si="2"/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42" t="s">
        <v>24</v>
      </c>
      <c r="B36" s="40">
        <f>COUNTIF($B$5:$B$29,1)/$B$30</f>
        <v>0</v>
      </c>
      <c r="C36" s="40">
        <f>COUNTIF($C$5:$C$29,1)/$C$30</f>
        <v>0</v>
      </c>
      <c r="D36" s="40">
        <f>COUNTIF($D$5:$D$29,1)/$D$30</f>
        <v>0</v>
      </c>
      <c r="E36" s="19">
        <f t="shared" si="2"/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42" t="s">
        <v>25</v>
      </c>
      <c r="B37" s="40">
        <f t="shared" ref="B37:D37" si="3">SUM(B33:B36)</f>
        <v>1</v>
      </c>
      <c r="C37" s="40">
        <f t="shared" si="3"/>
        <v>1</v>
      </c>
      <c r="D37" s="40">
        <f t="shared" si="3"/>
        <v>1</v>
      </c>
      <c r="E37" s="1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23"/>
      <c r="B38" s="23"/>
      <c r="C38" s="23"/>
      <c r="D38" s="2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60.75" customHeight="1">
      <c r="A42" s="42"/>
      <c r="B42" s="43" t="s">
        <v>51</v>
      </c>
      <c r="C42" s="43" t="s">
        <v>52</v>
      </c>
      <c r="D42" s="43" t="s">
        <v>53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17" t="s">
        <v>27</v>
      </c>
      <c r="B43" s="28">
        <f t="shared" ref="B43:D43" si="4">B30</f>
        <v>25</v>
      </c>
      <c r="C43" s="28">
        <f t="shared" si="4"/>
        <v>25</v>
      </c>
      <c r="D43" s="28">
        <f t="shared" si="4"/>
        <v>25</v>
      </c>
      <c r="E43" s="4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45" t="s">
        <v>28</v>
      </c>
      <c r="B44" s="46">
        <f>COUNTIF($B$5:$B$29,4)</f>
        <v>23</v>
      </c>
      <c r="C44" s="46">
        <f>COUNTIF($C$5:$C$29,4)</f>
        <v>23</v>
      </c>
      <c r="D44" s="46">
        <f>COUNTIF($D$5:$D$29,4)</f>
        <v>22</v>
      </c>
      <c r="E44" s="3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45" t="s">
        <v>29</v>
      </c>
      <c r="B45" s="46">
        <f>COUNTIF($B$5:$B$29,3)</f>
        <v>2</v>
      </c>
      <c r="C45" s="46">
        <f>COUNTIF($C$5:$C$29,3)</f>
        <v>2</v>
      </c>
      <c r="D45" s="46">
        <f>COUNTIF($D$5:$D$29,3)</f>
        <v>3</v>
      </c>
      <c r="E45" s="3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45" t="s">
        <v>30</v>
      </c>
      <c r="B46" s="46">
        <f>COUNTIF($B$5:$B$29,2)</f>
        <v>0</v>
      </c>
      <c r="C46" s="46">
        <f>COUNTIF($C$5:$C$29,2)</f>
        <v>0</v>
      </c>
      <c r="D46" s="46">
        <f>COUNTIF($D$5:$D$29,2)</f>
        <v>0</v>
      </c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45" t="s">
        <v>31</v>
      </c>
      <c r="B47" s="46">
        <f>COUNTIF($B$5:$B$29,1)</f>
        <v>0</v>
      </c>
      <c r="C47" s="46">
        <f>COUNTIF($C$5:$C$29,1)</f>
        <v>0</v>
      </c>
      <c r="D47" s="46">
        <f>COUNTIF($D$5:$D$29,1)</f>
        <v>0</v>
      </c>
      <c r="E47" s="3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7" t="s">
        <v>21</v>
      </c>
      <c r="B48" s="18">
        <f t="shared" ref="B48:B51" si="5">B44/$B$43</f>
        <v>0.92</v>
      </c>
      <c r="C48" s="18">
        <f t="shared" ref="C48:C51" si="6">C44/$C$43</f>
        <v>0.92</v>
      </c>
      <c r="D48" s="18">
        <f t="shared" ref="D48:D51" si="7">D44/$D$43</f>
        <v>0.88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5" t="s">
        <v>22</v>
      </c>
      <c r="B49" s="18">
        <f t="shared" si="5"/>
        <v>0.08</v>
      </c>
      <c r="C49" s="18">
        <f t="shared" si="6"/>
        <v>0.08</v>
      </c>
      <c r="D49" s="18">
        <f t="shared" si="7"/>
        <v>0.12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15" t="s">
        <v>23</v>
      </c>
      <c r="B50" s="18">
        <f t="shared" si="5"/>
        <v>0</v>
      </c>
      <c r="C50" s="18">
        <f t="shared" si="6"/>
        <v>0</v>
      </c>
      <c r="D50" s="18">
        <f t="shared" si="7"/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15" t="s">
        <v>24</v>
      </c>
      <c r="B51" s="18">
        <f t="shared" si="5"/>
        <v>0</v>
      </c>
      <c r="C51" s="18">
        <f t="shared" si="6"/>
        <v>0</v>
      </c>
      <c r="D51" s="18">
        <f t="shared" si="7"/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1.0"/>
    <col customWidth="1" min="3" max="3" width="18.71"/>
    <col customWidth="1" min="4" max="4" width="19.0"/>
    <col customWidth="1" min="5" max="5" width="9.0"/>
    <col customWidth="1" min="6" max="24" width="8.71"/>
  </cols>
  <sheetData>
    <row r="1" ht="14.25" customHeight="1">
      <c r="A1" s="1"/>
      <c r="B1" s="1"/>
      <c r="C1" s="1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75.0" customHeight="1">
      <c r="A3" s="35" t="s">
        <v>35</v>
      </c>
      <c r="B3" s="4" t="s">
        <v>2</v>
      </c>
      <c r="C3" s="4" t="s">
        <v>3</v>
      </c>
      <c r="D3" s="4" t="s">
        <v>4</v>
      </c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4.25" customHeight="1">
      <c r="A4" s="7"/>
      <c r="B4" s="8" t="s">
        <v>5</v>
      </c>
      <c r="C4" s="8" t="s">
        <v>6</v>
      </c>
      <c r="D4" s="8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25" customHeight="1">
      <c r="A5" s="7" t="s">
        <v>9</v>
      </c>
      <c r="B5" s="8">
        <v>4.0</v>
      </c>
      <c r="C5" s="8">
        <v>4.0</v>
      </c>
      <c r="D5" s="8">
        <v>4.0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>
      <c r="A6" s="7" t="s">
        <v>10</v>
      </c>
      <c r="B6" s="8">
        <v>4.0</v>
      </c>
      <c r="C6" s="8">
        <v>4.0</v>
      </c>
      <c r="D6" s="8">
        <v>4.0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4.25" customHeight="1">
      <c r="A7" s="7" t="s">
        <v>11</v>
      </c>
      <c r="B7" s="8">
        <v>4.0</v>
      </c>
      <c r="C7" s="8">
        <v>4.0</v>
      </c>
      <c r="D7" s="8">
        <v>4.0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4.25" customHeight="1">
      <c r="A8" s="7" t="s">
        <v>12</v>
      </c>
      <c r="B8" s="8">
        <v>4.0</v>
      </c>
      <c r="C8" s="8">
        <v>4.0</v>
      </c>
      <c r="D8" s="8">
        <v>4.0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4.25" customHeight="1">
      <c r="A9" s="7" t="s">
        <v>36</v>
      </c>
      <c r="B9" s="8">
        <v>4.0</v>
      </c>
      <c r="C9" s="8">
        <v>4.0</v>
      </c>
      <c r="D9" s="8">
        <v>4.0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4.25" customHeight="1">
      <c r="A10" s="7" t="s">
        <v>14</v>
      </c>
      <c r="B10" s="36">
        <v>3.0</v>
      </c>
      <c r="C10" s="8">
        <v>4.0</v>
      </c>
      <c r="D10" s="8">
        <v>4.0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4.25" customHeight="1">
      <c r="A11" s="7" t="s">
        <v>15</v>
      </c>
      <c r="B11" s="8">
        <v>4.0</v>
      </c>
      <c r="C11" s="8">
        <v>4.0</v>
      </c>
      <c r="D11" s="8">
        <v>4.0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4.25" customHeight="1">
      <c r="A12" s="7" t="s">
        <v>16</v>
      </c>
      <c r="B12" s="8">
        <v>4.0</v>
      </c>
      <c r="C12" s="8">
        <v>4.0</v>
      </c>
      <c r="D12" s="8">
        <v>4.0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4.25" customHeight="1">
      <c r="A13" s="7" t="s">
        <v>17</v>
      </c>
      <c r="B13" s="8">
        <v>4.0</v>
      </c>
      <c r="C13" s="8">
        <v>4.0</v>
      </c>
      <c r="D13" s="8">
        <v>4.0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4.25" customHeight="1">
      <c r="A14" s="7" t="s">
        <v>18</v>
      </c>
      <c r="B14" s="8">
        <v>4.0</v>
      </c>
      <c r="C14" s="8">
        <v>4.0</v>
      </c>
      <c r="D14" s="8">
        <v>4.0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4.25" customHeight="1">
      <c r="A15" s="7" t="s">
        <v>32</v>
      </c>
      <c r="B15" s="8">
        <v>4.0</v>
      </c>
      <c r="C15" s="8">
        <v>4.0</v>
      </c>
      <c r="D15" s="8">
        <v>4.0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4.25" customHeight="1">
      <c r="A16" s="7" t="s">
        <v>33</v>
      </c>
      <c r="B16" s="8">
        <v>4.0</v>
      </c>
      <c r="C16" s="8">
        <v>4.0</v>
      </c>
      <c r="D16" s="8">
        <v>4.0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4.25" customHeight="1">
      <c r="A17" s="7" t="s">
        <v>37</v>
      </c>
      <c r="B17" s="8">
        <v>3.0</v>
      </c>
      <c r="C17" s="8">
        <v>3.0</v>
      </c>
      <c r="D17" s="36">
        <v>3.0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4.25" customHeight="1">
      <c r="A18" s="7" t="s">
        <v>38</v>
      </c>
      <c r="B18" s="8">
        <v>4.0</v>
      </c>
      <c r="C18" s="8">
        <v>4.0</v>
      </c>
      <c r="D18" s="8">
        <v>4.0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4.25" customHeight="1">
      <c r="A19" s="7" t="s">
        <v>39</v>
      </c>
      <c r="B19" s="8">
        <v>4.0</v>
      </c>
      <c r="C19" s="8">
        <v>4.0</v>
      </c>
      <c r="D19" s="8">
        <v>4.0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>
      <c r="A20" s="7" t="s">
        <v>40</v>
      </c>
      <c r="B20" s="8">
        <v>3.0</v>
      </c>
      <c r="C20" s="36">
        <v>3.0</v>
      </c>
      <c r="D20" s="8">
        <v>3.0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>
      <c r="A21" s="7" t="s">
        <v>41</v>
      </c>
      <c r="B21" s="8">
        <v>4.0</v>
      </c>
      <c r="C21" s="8">
        <v>4.0</v>
      </c>
      <c r="D21" s="8">
        <v>4.0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7" t="s">
        <v>42</v>
      </c>
      <c r="B22" s="8">
        <v>3.0</v>
      </c>
      <c r="C22" s="8">
        <v>3.0</v>
      </c>
      <c r="D22" s="8">
        <v>3.0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>
      <c r="A23" s="7" t="s">
        <v>43</v>
      </c>
      <c r="B23" s="8">
        <v>4.0</v>
      </c>
      <c r="C23" s="8">
        <v>4.0</v>
      </c>
      <c r="D23" s="8">
        <v>4.0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>
      <c r="A24" s="7" t="s">
        <v>44</v>
      </c>
      <c r="B24" s="8">
        <v>4.0</v>
      </c>
      <c r="C24" s="8">
        <v>4.0</v>
      </c>
      <c r="D24" s="8">
        <v>4.0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25" customHeight="1">
      <c r="A25" s="7" t="s">
        <v>45</v>
      </c>
      <c r="B25" s="8">
        <v>4.0</v>
      </c>
      <c r="C25" s="8">
        <v>4.0</v>
      </c>
      <c r="D25" s="8">
        <v>4.0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25" customHeight="1">
      <c r="A26" s="7" t="s">
        <v>46</v>
      </c>
      <c r="B26" s="8">
        <v>4.0</v>
      </c>
      <c r="C26" s="8">
        <v>4.0</v>
      </c>
      <c r="D26" s="8">
        <v>4.0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25" customHeight="1">
      <c r="A27" s="7" t="s">
        <v>47</v>
      </c>
      <c r="B27" s="8">
        <v>4.0</v>
      </c>
      <c r="C27" s="8">
        <v>4.0</v>
      </c>
      <c r="D27" s="8">
        <v>4.0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25" customHeight="1">
      <c r="A28" s="7" t="s">
        <v>48</v>
      </c>
      <c r="B28" s="8">
        <v>4.0</v>
      </c>
      <c r="C28" s="8">
        <v>4.0</v>
      </c>
      <c r="D28" s="8">
        <v>4.0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25" customHeight="1">
      <c r="A29" s="7" t="s">
        <v>49</v>
      </c>
      <c r="B29" s="8">
        <v>4.0</v>
      </c>
      <c r="C29" s="8">
        <v>4.0</v>
      </c>
      <c r="D29" s="8">
        <v>4.0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25" customHeight="1">
      <c r="A30" s="35" t="s">
        <v>19</v>
      </c>
      <c r="B30" s="37">
        <f t="shared" ref="B30:D30" si="1">COUNT(B5:B29)</f>
        <v>25</v>
      </c>
      <c r="C30" s="37">
        <f t="shared" si="1"/>
        <v>25</v>
      </c>
      <c r="D30" s="37">
        <f t="shared" si="1"/>
        <v>25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38"/>
      <c r="B31" s="38"/>
      <c r="C31" s="38"/>
      <c r="D31" s="47"/>
      <c r="E31" s="41" t="s">
        <v>20</v>
      </c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25" customHeight="1">
      <c r="A32" s="39" t="s">
        <v>50</v>
      </c>
      <c r="B32" s="40">
        <f>COUNTIF($B$5:$B$29,4)/$B$30</f>
        <v>0.84</v>
      </c>
      <c r="C32" s="40">
        <f>COUNTIF($C$5:$C$29,4)/$C$30</f>
        <v>0.88</v>
      </c>
      <c r="D32" s="40">
        <f>COUNTIF($D$5:$D$29,4)/$D$30</f>
        <v>0.88</v>
      </c>
      <c r="E32" s="48">
        <f t="shared" ref="E32:E35" si="2">AVERAGE(B32:D32)</f>
        <v>0.8666666667</v>
      </c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25" customHeight="1">
      <c r="A33" s="41" t="s">
        <v>54</v>
      </c>
      <c r="B33" s="40">
        <f>COUNTIF($B$5:$B$29,3)/$B$30</f>
        <v>0.16</v>
      </c>
      <c r="C33" s="40">
        <f>COUNTIF($C$5:$C$29,3)/$C$30</f>
        <v>0.12</v>
      </c>
      <c r="D33" s="40">
        <f>COUNTIF($D$5:$D$29,3)/$D$30</f>
        <v>0.12</v>
      </c>
      <c r="E33" s="48">
        <f t="shared" si="2"/>
        <v>0.1333333333</v>
      </c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25" customHeight="1">
      <c r="A34" s="42" t="s">
        <v>23</v>
      </c>
      <c r="B34" s="40">
        <f>COUNTIF($B$5:$B$29,2)/$B$30</f>
        <v>0</v>
      </c>
      <c r="C34" s="40">
        <f>COUNTIF($C$5:$C$29,2)/$C$30</f>
        <v>0</v>
      </c>
      <c r="D34" s="40">
        <f>COUNTIF($D$5:$D$29,2)/$D$30</f>
        <v>0</v>
      </c>
      <c r="E34" s="48">
        <f t="shared" si="2"/>
        <v>0</v>
      </c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25" customHeight="1">
      <c r="A35" s="42" t="s">
        <v>24</v>
      </c>
      <c r="B35" s="40">
        <f>COUNTIF($B$5:$B$29,1)/$B$30</f>
        <v>0</v>
      </c>
      <c r="C35" s="40">
        <f>COUNTIF($C$5:$C$29,1)/$C$30</f>
        <v>0</v>
      </c>
      <c r="D35" s="40">
        <f>COUNTIF($D$5:$D$29,1)/$D$30</f>
        <v>0</v>
      </c>
      <c r="E35" s="48">
        <f t="shared" si="2"/>
        <v>0</v>
      </c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42" t="s">
        <v>25</v>
      </c>
      <c r="B36" s="40">
        <f t="shared" ref="B36:D36" si="3">SUM(B32:B35)</f>
        <v>1</v>
      </c>
      <c r="C36" s="40">
        <f t="shared" si="3"/>
        <v>1</v>
      </c>
      <c r="D36" s="40">
        <f t="shared" si="3"/>
        <v>1</v>
      </c>
      <c r="E36" s="42"/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23"/>
      <c r="B37" s="23"/>
      <c r="C37" s="23"/>
      <c r="D37" s="23"/>
      <c r="E37" s="2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49"/>
      <c r="B41" s="49"/>
      <c r="C41" s="49"/>
      <c r="D41" s="4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60.75" customHeight="1">
      <c r="A42" s="42"/>
      <c r="B42" s="43" t="s">
        <v>51</v>
      </c>
      <c r="C42" s="43" t="s">
        <v>52</v>
      </c>
      <c r="D42" s="43" t="s">
        <v>53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50" t="s">
        <v>27</v>
      </c>
      <c r="B43" s="28">
        <f t="shared" ref="B43:D43" si="4">B30</f>
        <v>25</v>
      </c>
      <c r="C43" s="28">
        <f t="shared" si="4"/>
        <v>25</v>
      </c>
      <c r="D43" s="28">
        <f t="shared" si="4"/>
        <v>25</v>
      </c>
      <c r="E43" s="4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51" t="s">
        <v>28</v>
      </c>
      <c r="B44" s="46">
        <f>COUNTIF($B$5:$B$29,4)</f>
        <v>21</v>
      </c>
      <c r="C44" s="46">
        <f>COUNTIF($C$5:$C$29,4)</f>
        <v>22</v>
      </c>
      <c r="D44" s="46">
        <f>COUNTIF($D$5:$D$29,4)</f>
        <v>22</v>
      </c>
      <c r="E44" s="3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45" t="s">
        <v>29</v>
      </c>
      <c r="B45" s="46">
        <f>COUNTIF($B$5:$B$29,3)</f>
        <v>4</v>
      </c>
      <c r="C45" s="46">
        <f>COUNTIF($C$5:$C$29,3)</f>
        <v>3</v>
      </c>
      <c r="D45" s="46">
        <f>COUNTIF($D$5:$D$29,3)</f>
        <v>3</v>
      </c>
      <c r="E45" s="3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45" t="s">
        <v>30</v>
      </c>
      <c r="B46" s="46">
        <f>COUNTIF($B$5:$B$29,2)</f>
        <v>0</v>
      </c>
      <c r="C46" s="46">
        <f>COUNTIF($C$5:$C$29,2)</f>
        <v>0</v>
      </c>
      <c r="D46" s="46">
        <f>COUNTIF($D$5:$D$29,2)</f>
        <v>0</v>
      </c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45" t="s">
        <v>31</v>
      </c>
      <c r="B47" s="46">
        <f>COUNTIF($B$5:$B$29,1)</f>
        <v>0</v>
      </c>
      <c r="C47" s="46">
        <f>COUNTIF($C$5:$C$29,1)</f>
        <v>0</v>
      </c>
      <c r="D47" s="46">
        <f>COUNTIF($D$5:$D$29,1)</f>
        <v>0</v>
      </c>
      <c r="E47" s="3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7" t="s">
        <v>21</v>
      </c>
      <c r="B48" s="18">
        <f t="shared" ref="B48:B51" si="5">B44/$B$43</f>
        <v>0.84</v>
      </c>
      <c r="C48" s="18">
        <f t="shared" ref="C48:C51" si="6">C44/$C$43</f>
        <v>0.88</v>
      </c>
      <c r="D48" s="18">
        <f t="shared" ref="D48:D51" si="7">D44/$D$43</f>
        <v>0.88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5" t="s">
        <v>22</v>
      </c>
      <c r="B49" s="18">
        <f t="shared" si="5"/>
        <v>0.16</v>
      </c>
      <c r="C49" s="52">
        <f t="shared" si="6"/>
        <v>0.12</v>
      </c>
      <c r="D49" s="52">
        <f t="shared" si="7"/>
        <v>0.12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45" t="s">
        <v>23</v>
      </c>
      <c r="B50" s="52">
        <f t="shared" si="5"/>
        <v>0</v>
      </c>
      <c r="C50" s="52">
        <f t="shared" si="6"/>
        <v>0</v>
      </c>
      <c r="D50" s="52">
        <f t="shared" si="7"/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45" t="s">
        <v>24</v>
      </c>
      <c r="B51" s="52">
        <f t="shared" si="5"/>
        <v>0</v>
      </c>
      <c r="C51" s="52">
        <f t="shared" si="6"/>
        <v>0</v>
      </c>
      <c r="D51" s="52">
        <f t="shared" si="7"/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