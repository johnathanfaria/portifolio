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ohna\Desktop\upwork jobs\data viz for job prposal\"/>
    </mc:Choice>
  </mc:AlternateContent>
  <xr:revisionPtr revIDLastSave="0" documentId="13_ncr:1_{7F394374-F5D0-4A6F-9326-00E7257685E2}" xr6:coauthVersionLast="45" xr6:coauthVersionMax="45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Helper table" sheetId="23" r:id="rId1"/>
    <sheet name="raw data" sheetId="1" r:id="rId2"/>
    <sheet name="cleaned data" sheetId="4" r:id="rId3"/>
    <sheet name="chart1_scores x courses" sheetId="15" r:id="rId4"/>
    <sheet name="chart2_questions x scores" sheetId="17" r:id="rId5"/>
    <sheet name="chart3_overall assessment" sheetId="20" r:id="rId6"/>
    <sheet name="chart4_score x years" sheetId="18" r:id="rId7"/>
    <sheet name="chart5_terms and average score" sheetId="22" r:id="rId8"/>
  </sheets>
  <definedNames>
    <definedName name="_xlnm._FilterDatabase" localSheetId="2" hidden="1">'cleaned data'!$A$1:$R$321</definedName>
    <definedName name="_xlnm._FilterDatabase" localSheetId="1" hidden="1">'raw data'!$A$1:$J$321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" i="4" l="1" a="1"/>
  <c r="Q3" i="4" s="1"/>
  <c r="Q4" i="4" a="1"/>
  <c r="Q4" i="4"/>
  <c r="Q5" i="4" a="1"/>
  <c r="Q5" i="4" s="1"/>
  <c r="Q6" i="4" a="1"/>
  <c r="Q6" i="4"/>
  <c r="Q7" i="4" a="1"/>
  <c r="Q7" i="4" s="1"/>
  <c r="Q8" i="4" a="1"/>
  <c r="Q8" i="4"/>
  <c r="Q9" i="4" a="1"/>
  <c r="Q9" i="4" s="1"/>
  <c r="Q10" i="4" a="1"/>
  <c r="Q10" i="4"/>
  <c r="Q11" i="4" a="1"/>
  <c r="Q11" i="4" s="1"/>
  <c r="Q12" i="4" a="1"/>
  <c r="Q12" i="4"/>
  <c r="Q13" i="4" a="1"/>
  <c r="Q13" i="4" s="1"/>
  <c r="Q14" i="4" a="1"/>
  <c r="Q14" i="4"/>
  <c r="Q15" i="4" a="1"/>
  <c r="Q15" i="4" s="1"/>
  <c r="Q16" i="4" a="1"/>
  <c r="Q16" i="4" s="1"/>
  <c r="Q17" i="4" a="1"/>
  <c r="Q17" i="4" s="1"/>
  <c r="Q18" i="4" a="1"/>
  <c r="Q18" i="4"/>
  <c r="Q19" i="4" a="1"/>
  <c r="Q19" i="4" s="1"/>
  <c r="Q20" i="4" a="1"/>
  <c r="Q20" i="4"/>
  <c r="Q21" i="4" a="1"/>
  <c r="Q21" i="4" s="1"/>
  <c r="Q22" i="4" a="1"/>
  <c r="Q22" i="4"/>
  <c r="Q23" i="4" a="1"/>
  <c r="Q23" i="4" s="1"/>
  <c r="Q24" i="4" a="1"/>
  <c r="Q24" i="4"/>
  <c r="Q25" i="4" a="1"/>
  <c r="Q25" i="4" s="1"/>
  <c r="Q26" i="4" a="1"/>
  <c r="Q26" i="4"/>
  <c r="Q27" i="4" a="1"/>
  <c r="Q27" i="4" s="1"/>
  <c r="Q28" i="4" a="1"/>
  <c r="Q28" i="4"/>
  <c r="Q29" i="4" a="1"/>
  <c r="Q29" i="4" s="1"/>
  <c r="Q30" i="4" a="1"/>
  <c r="Q30" i="4"/>
  <c r="Q31" i="4" a="1"/>
  <c r="Q31" i="4" s="1"/>
  <c r="Q32" i="4" a="1"/>
  <c r="Q32" i="4"/>
  <c r="Q33" i="4" a="1"/>
  <c r="Q33" i="4" s="1"/>
  <c r="Q34" i="4" a="1"/>
  <c r="Q34" i="4"/>
  <c r="Q35" i="4" a="1"/>
  <c r="Q35" i="4" s="1"/>
  <c r="Q36" i="4" a="1"/>
  <c r="Q36" i="4" s="1"/>
  <c r="Q37" i="4" a="1"/>
  <c r="Q37" i="4" s="1"/>
  <c r="Q38" i="4" a="1"/>
  <c r="Q38" i="4"/>
  <c r="Q39" i="4" a="1"/>
  <c r="Q39" i="4" s="1"/>
  <c r="Q40" i="4" a="1"/>
  <c r="Q40" i="4" s="1"/>
  <c r="Q41" i="4" a="1"/>
  <c r="Q41" i="4" s="1"/>
  <c r="Q42" i="4" a="1"/>
  <c r="Q42" i="4"/>
  <c r="Q43" i="4" a="1"/>
  <c r="Q43" i="4" s="1"/>
  <c r="Q44" i="4" a="1"/>
  <c r="Q44" i="4" s="1"/>
  <c r="Q45" i="4" a="1"/>
  <c r="Q45" i="4" s="1"/>
  <c r="Q46" i="4" a="1"/>
  <c r="Q46" i="4"/>
  <c r="Q47" i="4" a="1"/>
  <c r="Q47" i="4" s="1"/>
  <c r="Q48" i="4" a="1"/>
  <c r="Q48" i="4" s="1"/>
  <c r="Q49" i="4" a="1"/>
  <c r="Q49" i="4" s="1"/>
  <c r="Q50" i="4" a="1"/>
  <c r="Q50" i="4"/>
  <c r="Q51" i="4" a="1"/>
  <c r="Q51" i="4" s="1"/>
  <c r="Q52" i="4" a="1"/>
  <c r="Q52" i="4" s="1"/>
  <c r="Q53" i="4" a="1"/>
  <c r="Q53" i="4" s="1"/>
  <c r="Q54" i="4" a="1"/>
  <c r="Q54" i="4"/>
  <c r="Q55" i="4" a="1"/>
  <c r="Q55" i="4" s="1"/>
  <c r="Q56" i="4" a="1"/>
  <c r="Q56" i="4" s="1"/>
  <c r="Q57" i="4" a="1"/>
  <c r="Q57" i="4" s="1"/>
  <c r="Q58" i="4" a="1"/>
  <c r="Q58" i="4"/>
  <c r="Q59" i="4" a="1"/>
  <c r="Q59" i="4" s="1"/>
  <c r="Q60" i="4" a="1"/>
  <c r="Q60" i="4" s="1"/>
  <c r="Q61" i="4" a="1"/>
  <c r="Q61" i="4" s="1"/>
  <c r="Q62" i="4" a="1"/>
  <c r="Q62" i="4"/>
  <c r="Q63" i="4" a="1"/>
  <c r="Q63" i="4" s="1"/>
  <c r="Q64" i="4" a="1"/>
  <c r="Q64" i="4" s="1"/>
  <c r="Q65" i="4" a="1"/>
  <c r="Q65" i="4" s="1"/>
  <c r="Q66" i="4" a="1"/>
  <c r="Q66" i="4"/>
  <c r="Q67" i="4" a="1"/>
  <c r="Q67" i="4" s="1"/>
  <c r="Q68" i="4" a="1"/>
  <c r="Q68" i="4" s="1"/>
  <c r="Q69" i="4" a="1"/>
  <c r="Q69" i="4" s="1"/>
  <c r="Q70" i="4" a="1"/>
  <c r="Q70" i="4"/>
  <c r="Q71" i="4" a="1"/>
  <c r="Q71" i="4" s="1"/>
  <c r="Q72" i="4" a="1"/>
  <c r="Q72" i="4" s="1"/>
  <c r="Q73" i="4" a="1"/>
  <c r="Q73" i="4" s="1"/>
  <c r="Q74" i="4" a="1"/>
  <c r="Q74" i="4"/>
  <c r="Q75" i="4" a="1"/>
  <c r="Q75" i="4" s="1"/>
  <c r="Q76" i="4" a="1"/>
  <c r="Q76" i="4" s="1"/>
  <c r="Q77" i="4" a="1"/>
  <c r="Q77" i="4" s="1"/>
  <c r="Q78" i="4" a="1"/>
  <c r="Q78" i="4"/>
  <c r="Q79" i="4" a="1"/>
  <c r="Q79" i="4" s="1"/>
  <c r="Q80" i="4" a="1"/>
  <c r="Q80" i="4" s="1"/>
  <c r="Q81" i="4" a="1"/>
  <c r="Q81" i="4" s="1"/>
  <c r="Q82" i="4" a="1"/>
  <c r="Q82" i="4"/>
  <c r="Q83" i="4" a="1"/>
  <c r="Q83" i="4" s="1"/>
  <c r="Q84" i="4" a="1"/>
  <c r="Q84" i="4" s="1"/>
  <c r="Q85" i="4" a="1"/>
  <c r="Q85" i="4" s="1"/>
  <c r="Q86" i="4" a="1"/>
  <c r="Q86" i="4"/>
  <c r="Q87" i="4" a="1"/>
  <c r="Q87" i="4" s="1"/>
  <c r="Q88" i="4" a="1"/>
  <c r="Q88" i="4" s="1"/>
  <c r="Q89" i="4" a="1"/>
  <c r="Q89" i="4" s="1"/>
  <c r="Q90" i="4" a="1"/>
  <c r="Q90" i="4"/>
  <c r="Q91" i="4" a="1"/>
  <c r="Q91" i="4" s="1"/>
  <c r="Q92" i="4" a="1"/>
  <c r="Q92" i="4" s="1"/>
  <c r="Q93" i="4" a="1"/>
  <c r="Q93" i="4" s="1"/>
  <c r="Q94" i="4" a="1"/>
  <c r="Q94" i="4"/>
  <c r="Q95" i="4" a="1"/>
  <c r="Q95" i="4" s="1"/>
  <c r="Q96" i="4" a="1"/>
  <c r="Q96" i="4" s="1"/>
  <c r="Q97" i="4" a="1"/>
  <c r="Q97" i="4" s="1"/>
  <c r="Q98" i="4" a="1"/>
  <c r="Q98" i="4"/>
  <c r="Q99" i="4" a="1"/>
  <c r="Q99" i="4" s="1"/>
  <c r="Q100" i="4" a="1"/>
  <c r="Q100" i="4" s="1"/>
  <c r="Q101" i="4" a="1"/>
  <c r="Q101" i="4" s="1"/>
  <c r="Q102" i="4" a="1"/>
  <c r="Q102" i="4"/>
  <c r="Q103" i="4" a="1"/>
  <c r="Q103" i="4" s="1"/>
  <c r="Q104" i="4" a="1"/>
  <c r="Q104" i="4" s="1"/>
  <c r="Q105" i="4" a="1"/>
  <c r="Q105" i="4" s="1"/>
  <c r="Q106" i="4" a="1"/>
  <c r="Q106" i="4"/>
  <c r="Q107" i="4" a="1"/>
  <c r="Q107" i="4" s="1"/>
  <c r="Q108" i="4" a="1"/>
  <c r="Q108" i="4" s="1"/>
  <c r="Q109" i="4" a="1"/>
  <c r="Q109" i="4" s="1"/>
  <c r="Q110" i="4" a="1"/>
  <c r="Q110" i="4"/>
  <c r="Q111" i="4" a="1"/>
  <c r="Q111" i="4" s="1"/>
  <c r="Q112" i="4" a="1"/>
  <c r="Q112" i="4" s="1"/>
  <c r="Q113" i="4" a="1"/>
  <c r="Q113" i="4" s="1"/>
  <c r="Q114" i="4" a="1"/>
  <c r="Q114" i="4"/>
  <c r="Q115" i="4" a="1"/>
  <c r="Q115" i="4" s="1"/>
  <c r="Q116" i="4" a="1"/>
  <c r="Q116" i="4" s="1"/>
  <c r="Q117" i="4" a="1"/>
  <c r="Q117" i="4" s="1"/>
  <c r="Q118" i="4" a="1"/>
  <c r="Q118" i="4"/>
  <c r="Q119" i="4" a="1"/>
  <c r="Q119" i="4" s="1"/>
  <c r="Q120" i="4" a="1"/>
  <c r="Q120" i="4" s="1"/>
  <c r="Q121" i="4" a="1"/>
  <c r="Q121" i="4" s="1"/>
  <c r="Q122" i="4" a="1"/>
  <c r="Q122" i="4"/>
  <c r="Q123" i="4" a="1"/>
  <c r="Q123" i="4" s="1"/>
  <c r="Q124" i="4" a="1"/>
  <c r="Q124" i="4" s="1"/>
  <c r="Q125" i="4" a="1"/>
  <c r="Q125" i="4" s="1"/>
  <c r="Q126" i="4" a="1"/>
  <c r="Q126" i="4"/>
  <c r="Q127" i="4" a="1"/>
  <c r="Q127" i="4" s="1"/>
  <c r="Q128" i="4" a="1"/>
  <c r="Q128" i="4" s="1"/>
  <c r="Q129" i="4" a="1"/>
  <c r="Q129" i="4" s="1"/>
  <c r="Q130" i="4" a="1"/>
  <c r="Q130" i="4"/>
  <c r="Q131" i="4" a="1"/>
  <c r="Q131" i="4" s="1"/>
  <c r="Q132" i="4" a="1"/>
  <c r="Q132" i="4" s="1"/>
  <c r="Q133" i="4" a="1"/>
  <c r="Q133" i="4" s="1"/>
  <c r="Q134" i="4" a="1"/>
  <c r="Q134" i="4"/>
  <c r="Q135" i="4" a="1"/>
  <c r="Q135" i="4" s="1"/>
  <c r="Q136" i="4" a="1"/>
  <c r="Q136" i="4" s="1"/>
  <c r="Q137" i="4" a="1"/>
  <c r="Q137" i="4" s="1"/>
  <c r="Q138" i="4" a="1"/>
  <c r="Q138" i="4"/>
  <c r="Q139" i="4" a="1"/>
  <c r="Q139" i="4" s="1"/>
  <c r="Q140" i="4" a="1"/>
  <c r="Q140" i="4" s="1"/>
  <c r="Q141" i="4" a="1"/>
  <c r="Q141" i="4" s="1"/>
  <c r="Q142" i="4" a="1"/>
  <c r="Q142" i="4"/>
  <c r="Q143" i="4" a="1"/>
  <c r="Q143" i="4" s="1"/>
  <c r="Q144" i="4" a="1"/>
  <c r="Q144" i="4" s="1"/>
  <c r="Q145" i="4" a="1"/>
  <c r="Q145" i="4" s="1"/>
  <c r="Q146" i="4" a="1"/>
  <c r="Q146" i="4"/>
  <c r="Q147" i="4" a="1"/>
  <c r="Q147" i="4" s="1"/>
  <c r="Q148" i="4" a="1"/>
  <c r="Q148" i="4" s="1"/>
  <c r="Q149" i="4" a="1"/>
  <c r="Q149" i="4" s="1"/>
  <c r="Q150" i="4" a="1"/>
  <c r="Q150" i="4"/>
  <c r="Q151" i="4" a="1"/>
  <c r="Q151" i="4" s="1"/>
  <c r="Q152" i="4" a="1"/>
  <c r="Q152" i="4" s="1"/>
  <c r="Q153" i="4" a="1"/>
  <c r="Q153" i="4" s="1"/>
  <c r="Q154" i="4" a="1"/>
  <c r="Q154" i="4"/>
  <c r="Q155" i="4" a="1"/>
  <c r="Q155" i="4" s="1"/>
  <c r="Q156" i="4" a="1"/>
  <c r="Q156" i="4" s="1"/>
  <c r="Q157" i="4" a="1"/>
  <c r="Q157" i="4" s="1"/>
  <c r="Q158" i="4" a="1"/>
  <c r="Q158" i="4"/>
  <c r="Q159" i="4" a="1"/>
  <c r="Q159" i="4" s="1"/>
  <c r="Q160" i="4" a="1"/>
  <c r="Q160" i="4" s="1"/>
  <c r="Q161" i="4" a="1"/>
  <c r="Q161" i="4" s="1"/>
  <c r="Q162" i="4" a="1"/>
  <c r="Q162" i="4"/>
  <c r="Q163" i="4" a="1"/>
  <c r="Q163" i="4" s="1"/>
  <c r="Q164" i="4" a="1"/>
  <c r="Q164" i="4" s="1"/>
  <c r="Q165" i="4" a="1"/>
  <c r="Q165" i="4" s="1"/>
  <c r="Q166" i="4" a="1"/>
  <c r="Q166" i="4"/>
  <c r="Q167" i="4" a="1"/>
  <c r="Q167" i="4" s="1"/>
  <c r="Q168" i="4" a="1"/>
  <c r="Q168" i="4" s="1"/>
  <c r="Q169" i="4" a="1"/>
  <c r="Q169" i="4" s="1"/>
  <c r="Q170" i="4" a="1"/>
  <c r="Q170" i="4"/>
  <c r="Q171" i="4" a="1"/>
  <c r="Q171" i="4" s="1"/>
  <c r="Q172" i="4" a="1"/>
  <c r="Q172" i="4" s="1"/>
  <c r="Q173" i="4" a="1"/>
  <c r="Q173" i="4" s="1"/>
  <c r="Q174" i="4" a="1"/>
  <c r="Q174" i="4"/>
  <c r="Q175" i="4" a="1"/>
  <c r="Q175" i="4" s="1"/>
  <c r="Q176" i="4" a="1"/>
  <c r="Q176" i="4" s="1"/>
  <c r="Q177" i="4" a="1"/>
  <c r="Q177" i="4" s="1"/>
  <c r="Q178" i="4" a="1"/>
  <c r="Q178" i="4"/>
  <c r="Q179" i="4" a="1"/>
  <c r="Q179" i="4" s="1"/>
  <c r="Q180" i="4" a="1"/>
  <c r="Q180" i="4" s="1"/>
  <c r="Q181" i="4" a="1"/>
  <c r="Q181" i="4" s="1"/>
  <c r="Q182" i="4" a="1"/>
  <c r="Q182" i="4"/>
  <c r="Q183" i="4" a="1"/>
  <c r="Q183" i="4" s="1"/>
  <c r="Q184" i="4" a="1"/>
  <c r="Q184" i="4" s="1"/>
  <c r="Q185" i="4" a="1"/>
  <c r="Q185" i="4" s="1"/>
  <c r="Q186" i="4" a="1"/>
  <c r="Q186" i="4"/>
  <c r="Q187" i="4" a="1"/>
  <c r="Q187" i="4" s="1"/>
  <c r="Q188" i="4" a="1"/>
  <c r="Q188" i="4" s="1"/>
  <c r="Q189" i="4" a="1"/>
  <c r="Q189" i="4" s="1"/>
  <c r="Q190" i="4" a="1"/>
  <c r="Q190" i="4"/>
  <c r="Q191" i="4" a="1"/>
  <c r="Q191" i="4" s="1"/>
  <c r="Q192" i="4" a="1"/>
  <c r="Q192" i="4" s="1"/>
  <c r="Q193" i="4" a="1"/>
  <c r="Q193" i="4" s="1"/>
  <c r="Q194" i="4" a="1"/>
  <c r="Q194" i="4"/>
  <c r="Q195" i="4" a="1"/>
  <c r="Q195" i="4" s="1"/>
  <c r="Q196" i="4" a="1"/>
  <c r="Q196" i="4" s="1"/>
  <c r="Q197" i="4" a="1"/>
  <c r="Q197" i="4" s="1"/>
  <c r="Q198" i="4" a="1"/>
  <c r="Q198" i="4"/>
  <c r="Q199" i="4" a="1"/>
  <c r="Q199" i="4" s="1"/>
  <c r="Q200" i="4" a="1"/>
  <c r="Q200" i="4" s="1"/>
  <c r="Q201" i="4" a="1"/>
  <c r="Q201" i="4" s="1"/>
  <c r="Q202" i="4" a="1"/>
  <c r="Q202" i="4"/>
  <c r="Q203" i="4" a="1"/>
  <c r="Q203" i="4" s="1"/>
  <c r="Q204" i="4" a="1"/>
  <c r="Q204" i="4" s="1"/>
  <c r="Q205" i="4" a="1"/>
  <c r="Q205" i="4" s="1"/>
  <c r="Q206" i="4" a="1"/>
  <c r="Q206" i="4"/>
  <c r="Q207" i="4" a="1"/>
  <c r="Q207" i="4" s="1"/>
  <c r="Q208" i="4" a="1"/>
  <c r="Q208" i="4" s="1"/>
  <c r="Q209" i="4" a="1"/>
  <c r="Q209" i="4" s="1"/>
  <c r="Q210" i="4" a="1"/>
  <c r="Q210" i="4"/>
  <c r="Q211" i="4" a="1"/>
  <c r="Q211" i="4" s="1"/>
  <c r="Q212" i="4" a="1"/>
  <c r="Q212" i="4" s="1"/>
  <c r="Q213" i="4" a="1"/>
  <c r="Q213" i="4" s="1"/>
  <c r="Q214" i="4" a="1"/>
  <c r="Q214" i="4"/>
  <c r="Q215" i="4" a="1"/>
  <c r="Q215" i="4" s="1"/>
  <c r="Q216" i="4" a="1"/>
  <c r="Q216" i="4" s="1"/>
  <c r="Q217" i="4" a="1"/>
  <c r="Q217" i="4" s="1"/>
  <c r="Q218" i="4" a="1"/>
  <c r="Q218" i="4"/>
  <c r="Q219" i="4" a="1"/>
  <c r="Q219" i="4" s="1"/>
  <c r="Q220" i="4" a="1"/>
  <c r="Q220" i="4" s="1"/>
  <c r="Q221" i="4" a="1"/>
  <c r="Q221" i="4" s="1"/>
  <c r="Q222" i="4" a="1"/>
  <c r="Q222" i="4"/>
  <c r="Q223" i="4" a="1"/>
  <c r="Q223" i="4" s="1"/>
  <c r="Q224" i="4" a="1"/>
  <c r="Q224" i="4" s="1"/>
  <c r="Q225" i="4" a="1"/>
  <c r="Q225" i="4" s="1"/>
  <c r="Q226" i="4" a="1"/>
  <c r="Q226" i="4"/>
  <c r="Q227" i="4" a="1"/>
  <c r="Q227" i="4" s="1"/>
  <c r="Q228" i="4" a="1"/>
  <c r="Q228" i="4" s="1"/>
  <c r="Q229" i="4" a="1"/>
  <c r="Q229" i="4" s="1"/>
  <c r="Q230" i="4" a="1"/>
  <c r="Q230" i="4"/>
  <c r="Q231" i="4" a="1"/>
  <c r="Q231" i="4" s="1"/>
  <c r="Q232" i="4" a="1"/>
  <c r="Q232" i="4" s="1"/>
  <c r="Q233" i="4" a="1"/>
  <c r="Q233" i="4" s="1"/>
  <c r="Q234" i="4" a="1"/>
  <c r="Q234" i="4"/>
  <c r="Q235" i="4" a="1"/>
  <c r="Q235" i="4" s="1"/>
  <c r="Q236" i="4" a="1"/>
  <c r="Q236" i="4" s="1"/>
  <c r="Q237" i="4" a="1"/>
  <c r="Q237" i="4" s="1"/>
  <c r="Q238" i="4" a="1"/>
  <c r="Q238" i="4"/>
  <c r="Q239" i="4" a="1"/>
  <c r="Q239" i="4" s="1"/>
  <c r="Q240" i="4" a="1"/>
  <c r="Q240" i="4" s="1"/>
  <c r="Q241" i="4" a="1"/>
  <c r="Q241" i="4" s="1"/>
  <c r="Q242" i="4" a="1"/>
  <c r="Q242" i="4"/>
  <c r="Q243" i="4" a="1"/>
  <c r="Q243" i="4" s="1"/>
  <c r="Q244" i="4" a="1"/>
  <c r="Q244" i="4" s="1"/>
  <c r="Q245" i="4" a="1"/>
  <c r="Q245" i="4" s="1"/>
  <c r="Q246" i="4" a="1"/>
  <c r="Q246" i="4"/>
  <c r="Q247" i="4" a="1"/>
  <c r="Q247" i="4" s="1"/>
  <c r="Q248" i="4" a="1"/>
  <c r="Q248" i="4" s="1"/>
  <c r="Q249" i="4" a="1"/>
  <c r="Q249" i="4" s="1"/>
  <c r="Q250" i="4" a="1"/>
  <c r="Q250" i="4"/>
  <c r="Q251" i="4" a="1"/>
  <c r="Q251" i="4" s="1"/>
  <c r="Q252" i="4" a="1"/>
  <c r="Q252" i="4" s="1"/>
  <c r="Q253" i="4" a="1"/>
  <c r="Q253" i="4" s="1"/>
  <c r="Q254" i="4" a="1"/>
  <c r="Q254" i="4"/>
  <c r="Q255" i="4" a="1"/>
  <c r="Q255" i="4" s="1"/>
  <c r="Q256" i="4" a="1"/>
  <c r="Q256" i="4" s="1"/>
  <c r="Q257" i="4" a="1"/>
  <c r="Q257" i="4" s="1"/>
  <c r="Q258" i="4" a="1"/>
  <c r="Q258" i="4"/>
  <c r="Q259" i="4" a="1"/>
  <c r="Q259" i="4" s="1"/>
  <c r="Q260" i="4" a="1"/>
  <c r="Q260" i="4" s="1"/>
  <c r="Q261" i="4" a="1"/>
  <c r="Q261" i="4" s="1"/>
  <c r="Q262" i="4" a="1"/>
  <c r="Q262" i="4"/>
  <c r="Q263" i="4" a="1"/>
  <c r="Q263" i="4" s="1"/>
  <c r="Q264" i="4" a="1"/>
  <c r="Q264" i="4" s="1"/>
  <c r="Q265" i="4" a="1"/>
  <c r="Q265" i="4" s="1"/>
  <c r="Q266" i="4" a="1"/>
  <c r="Q266" i="4"/>
  <c r="Q267" i="4" a="1"/>
  <c r="Q267" i="4" s="1"/>
  <c r="Q268" i="4" a="1"/>
  <c r="Q268" i="4" s="1"/>
  <c r="Q269" i="4" a="1"/>
  <c r="Q269" i="4" s="1"/>
  <c r="Q270" i="4" a="1"/>
  <c r="Q270" i="4"/>
  <c r="Q271" i="4" a="1"/>
  <c r="Q271" i="4" s="1"/>
  <c r="Q272" i="4" a="1"/>
  <c r="Q272" i="4" s="1"/>
  <c r="Q273" i="4" a="1"/>
  <c r="Q273" i="4" s="1"/>
  <c r="Q274" i="4" a="1"/>
  <c r="Q274" i="4"/>
  <c r="Q275" i="4" a="1"/>
  <c r="Q275" i="4" s="1"/>
  <c r="Q276" i="4" a="1"/>
  <c r="Q276" i="4" s="1"/>
  <c r="Q277" i="4" a="1"/>
  <c r="Q277" i="4" s="1"/>
  <c r="Q278" i="4" a="1"/>
  <c r="Q278" i="4"/>
  <c r="Q279" i="4" a="1"/>
  <c r="Q279" i="4" s="1"/>
  <c r="Q280" i="4" a="1"/>
  <c r="Q280" i="4" s="1"/>
  <c r="Q281" i="4" a="1"/>
  <c r="Q281" i="4" s="1"/>
  <c r="Q282" i="4" a="1"/>
  <c r="Q282" i="4"/>
  <c r="Q283" i="4" a="1"/>
  <c r="Q283" i="4" s="1"/>
  <c r="Q284" i="4" a="1"/>
  <c r="Q284" i="4" s="1"/>
  <c r="Q285" i="4" a="1"/>
  <c r="Q285" i="4" s="1"/>
  <c r="Q286" i="4" a="1"/>
  <c r="Q286" i="4"/>
  <c r="Q287" i="4" a="1"/>
  <c r="Q287" i="4" s="1"/>
  <c r="Q288" i="4" a="1"/>
  <c r="Q288" i="4" s="1"/>
  <c r="Q289" i="4" a="1"/>
  <c r="Q289" i="4" s="1"/>
  <c r="Q290" i="4" a="1"/>
  <c r="Q290" i="4"/>
  <c r="Q291" i="4" a="1"/>
  <c r="Q291" i="4" s="1"/>
  <c r="Q292" i="4" a="1"/>
  <c r="Q292" i="4" s="1"/>
  <c r="Q293" i="4" a="1"/>
  <c r="Q293" i="4" s="1"/>
  <c r="Q294" i="4" a="1"/>
  <c r="Q294" i="4"/>
  <c r="Q295" i="4" a="1"/>
  <c r="Q295" i="4" s="1"/>
  <c r="Q296" i="4" a="1"/>
  <c r="Q296" i="4" s="1"/>
  <c r="Q297" i="4" a="1"/>
  <c r="Q297" i="4" s="1"/>
  <c r="Q298" i="4" a="1"/>
  <c r="Q298" i="4"/>
  <c r="Q299" i="4" a="1"/>
  <c r="Q299" i="4" s="1"/>
  <c r="Q300" i="4" a="1"/>
  <c r="Q300" i="4" s="1"/>
  <c r="Q301" i="4" a="1"/>
  <c r="Q301" i="4" s="1"/>
  <c r="Q302" i="4" a="1"/>
  <c r="Q302" i="4"/>
  <c r="Q303" i="4" a="1"/>
  <c r="Q303" i="4" s="1"/>
  <c r="Q304" i="4" a="1"/>
  <c r="Q304" i="4" s="1"/>
  <c r="Q305" i="4" a="1"/>
  <c r="Q305" i="4" s="1"/>
  <c r="Q306" i="4" a="1"/>
  <c r="Q306" i="4"/>
  <c r="Q307" i="4" a="1"/>
  <c r="Q307" i="4" s="1"/>
  <c r="Q308" i="4" a="1"/>
  <c r="Q308" i="4" s="1"/>
  <c r="Q309" i="4" a="1"/>
  <c r="Q309" i="4" s="1"/>
  <c r="Q310" i="4" a="1"/>
  <c r="Q310" i="4"/>
  <c r="Q311" i="4" a="1"/>
  <c r="Q311" i="4" s="1"/>
  <c r="Q312" i="4" a="1"/>
  <c r="Q312" i="4" s="1"/>
  <c r="Q313" i="4" a="1"/>
  <c r="Q313" i="4" s="1"/>
  <c r="Q314" i="4" a="1"/>
  <c r="Q314" i="4"/>
  <c r="Q315" i="4" a="1"/>
  <c r="Q315" i="4" s="1"/>
  <c r="Q316" i="4" a="1"/>
  <c r="Q316" i="4" s="1"/>
  <c r="Q317" i="4" a="1"/>
  <c r="Q317" i="4" s="1"/>
  <c r="Q318" i="4" a="1"/>
  <c r="Q318" i="4"/>
  <c r="Q319" i="4" a="1"/>
  <c r="Q319" i="4" s="1"/>
  <c r="Q320" i="4" a="1"/>
  <c r="Q320" i="4" s="1"/>
  <c r="Q321" i="4" a="1"/>
  <c r="Q321" i="4" s="1"/>
  <c r="Q2" i="4" a="1"/>
  <c r="Q2" i="4" s="1"/>
  <c r="S322" i="4" l="1"/>
  <c r="S289" i="4"/>
  <c r="S241" i="4"/>
  <c r="S201" i="4"/>
  <c r="S161" i="4"/>
  <c r="S129" i="4"/>
  <c r="S57" i="4"/>
  <c r="S41" i="4"/>
  <c r="S25" i="4"/>
  <c r="S73" i="4"/>
  <c r="S81" i="4"/>
  <c r="S89" i="4"/>
  <c r="S97" i="4"/>
  <c r="S20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65" i="4"/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2" i="4"/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20" i="4"/>
  <c r="R321" i="4" l="1"/>
  <c r="P321" i="4"/>
  <c r="A321" i="4"/>
  <c r="R320" i="4"/>
  <c r="P320" i="4"/>
  <c r="A320" i="4"/>
  <c r="R319" i="4"/>
  <c r="P319" i="4"/>
  <c r="A319" i="4"/>
  <c r="R318" i="4"/>
  <c r="P318" i="4"/>
  <c r="A318" i="4"/>
  <c r="R317" i="4"/>
  <c r="P317" i="4"/>
  <c r="A317" i="4"/>
  <c r="R316" i="4"/>
  <c r="P316" i="4"/>
  <c r="A316" i="4"/>
  <c r="R315" i="4"/>
  <c r="P315" i="4"/>
  <c r="A315" i="4"/>
  <c r="R314" i="4"/>
  <c r="P314" i="4"/>
  <c r="A314" i="4"/>
  <c r="R313" i="4"/>
  <c r="P313" i="4"/>
  <c r="A313" i="4"/>
  <c r="R312" i="4"/>
  <c r="P312" i="4"/>
  <c r="A312" i="4"/>
  <c r="R311" i="4"/>
  <c r="P311" i="4"/>
  <c r="A311" i="4"/>
  <c r="R310" i="4"/>
  <c r="P310" i="4"/>
  <c r="A310" i="4"/>
  <c r="R309" i="4"/>
  <c r="P309" i="4"/>
  <c r="A309" i="4"/>
  <c r="R308" i="4"/>
  <c r="P308" i="4"/>
  <c r="A308" i="4"/>
  <c r="R307" i="4"/>
  <c r="P307" i="4"/>
  <c r="A307" i="4"/>
  <c r="R306" i="4"/>
  <c r="P306" i="4"/>
  <c r="A306" i="4"/>
  <c r="R305" i="4"/>
  <c r="P305" i="4"/>
  <c r="A305" i="4"/>
  <c r="R304" i="4"/>
  <c r="P304" i="4"/>
  <c r="A304" i="4"/>
  <c r="R303" i="4"/>
  <c r="P303" i="4"/>
  <c r="A303" i="4"/>
  <c r="R302" i="4"/>
  <c r="P302" i="4"/>
  <c r="A302" i="4"/>
  <c r="R301" i="4"/>
  <c r="P301" i="4"/>
  <c r="A301" i="4"/>
  <c r="R300" i="4"/>
  <c r="P300" i="4"/>
  <c r="A300" i="4"/>
  <c r="R299" i="4"/>
  <c r="P299" i="4"/>
  <c r="A299" i="4"/>
  <c r="R298" i="4"/>
  <c r="P298" i="4"/>
  <c r="A298" i="4"/>
  <c r="R297" i="4"/>
  <c r="P297" i="4"/>
  <c r="A297" i="4"/>
  <c r="R296" i="4"/>
  <c r="P296" i="4"/>
  <c r="A296" i="4"/>
  <c r="R295" i="4"/>
  <c r="P295" i="4"/>
  <c r="A295" i="4"/>
  <c r="R294" i="4"/>
  <c r="P294" i="4"/>
  <c r="A294" i="4"/>
  <c r="R293" i="4"/>
  <c r="P293" i="4"/>
  <c r="A293" i="4"/>
  <c r="R292" i="4"/>
  <c r="P292" i="4"/>
  <c r="A292" i="4"/>
  <c r="R291" i="4"/>
  <c r="P291" i="4"/>
  <c r="A291" i="4"/>
  <c r="R290" i="4"/>
  <c r="P290" i="4"/>
  <c r="A290" i="4"/>
  <c r="R289" i="4"/>
  <c r="P289" i="4"/>
  <c r="A289" i="4"/>
  <c r="R288" i="4"/>
  <c r="P288" i="4"/>
  <c r="A288" i="4"/>
  <c r="R287" i="4"/>
  <c r="P287" i="4"/>
  <c r="A287" i="4"/>
  <c r="R286" i="4"/>
  <c r="P286" i="4"/>
  <c r="A286" i="4"/>
  <c r="R285" i="4"/>
  <c r="P285" i="4"/>
  <c r="A285" i="4"/>
  <c r="R284" i="4"/>
  <c r="P284" i="4"/>
  <c r="A284" i="4"/>
  <c r="R283" i="4"/>
  <c r="P283" i="4"/>
  <c r="A283" i="4"/>
  <c r="R282" i="4"/>
  <c r="P282" i="4"/>
  <c r="A282" i="4"/>
  <c r="R281" i="4"/>
  <c r="P281" i="4"/>
  <c r="A281" i="4"/>
  <c r="R280" i="4"/>
  <c r="P280" i="4"/>
  <c r="A280" i="4"/>
  <c r="R279" i="4"/>
  <c r="P279" i="4"/>
  <c r="A279" i="4"/>
  <c r="R278" i="4"/>
  <c r="P278" i="4"/>
  <c r="A278" i="4"/>
  <c r="R277" i="4"/>
  <c r="P277" i="4"/>
  <c r="A277" i="4"/>
  <c r="R276" i="4"/>
  <c r="P276" i="4"/>
  <c r="A276" i="4"/>
  <c r="R275" i="4"/>
  <c r="P275" i="4"/>
  <c r="A275" i="4"/>
  <c r="R274" i="4"/>
  <c r="P274" i="4"/>
  <c r="A274" i="4"/>
  <c r="R273" i="4"/>
  <c r="P273" i="4"/>
  <c r="A273" i="4"/>
  <c r="R272" i="4"/>
  <c r="P272" i="4"/>
  <c r="A272" i="4"/>
  <c r="R271" i="4"/>
  <c r="P271" i="4"/>
  <c r="A271" i="4"/>
  <c r="R270" i="4"/>
  <c r="P270" i="4"/>
  <c r="A270" i="4"/>
  <c r="R269" i="4"/>
  <c r="P269" i="4"/>
  <c r="A269" i="4"/>
  <c r="R268" i="4"/>
  <c r="P268" i="4"/>
  <c r="A268" i="4"/>
  <c r="R267" i="4"/>
  <c r="P267" i="4"/>
  <c r="A267" i="4"/>
  <c r="R266" i="4"/>
  <c r="P266" i="4"/>
  <c r="A266" i="4"/>
  <c r="R265" i="4"/>
  <c r="P265" i="4"/>
  <c r="A265" i="4"/>
  <c r="R264" i="4"/>
  <c r="P264" i="4"/>
  <c r="A264" i="4"/>
  <c r="R263" i="4"/>
  <c r="P263" i="4"/>
  <c r="A263" i="4"/>
  <c r="R262" i="4"/>
  <c r="P262" i="4"/>
  <c r="A262" i="4"/>
  <c r="R261" i="4"/>
  <c r="P261" i="4"/>
  <c r="A261" i="4"/>
  <c r="R260" i="4"/>
  <c r="P260" i="4"/>
  <c r="A260" i="4"/>
  <c r="R259" i="4"/>
  <c r="P259" i="4"/>
  <c r="A259" i="4"/>
  <c r="R258" i="4"/>
  <c r="P258" i="4"/>
  <c r="A258" i="4"/>
  <c r="R257" i="4"/>
  <c r="P257" i="4"/>
  <c r="A257" i="4"/>
  <c r="R256" i="4"/>
  <c r="P256" i="4"/>
  <c r="A256" i="4"/>
  <c r="R255" i="4"/>
  <c r="P255" i="4"/>
  <c r="A255" i="4"/>
  <c r="R254" i="4"/>
  <c r="P254" i="4"/>
  <c r="A254" i="4"/>
  <c r="R253" i="4"/>
  <c r="P253" i="4"/>
  <c r="A253" i="4"/>
  <c r="R252" i="4"/>
  <c r="P252" i="4"/>
  <c r="A252" i="4"/>
  <c r="R251" i="4"/>
  <c r="P251" i="4"/>
  <c r="A251" i="4"/>
  <c r="R250" i="4"/>
  <c r="P250" i="4"/>
  <c r="A250" i="4"/>
  <c r="R249" i="4"/>
  <c r="P249" i="4"/>
  <c r="A249" i="4"/>
  <c r="R248" i="4"/>
  <c r="P248" i="4"/>
  <c r="A248" i="4"/>
  <c r="R247" i="4"/>
  <c r="P247" i="4"/>
  <c r="A247" i="4"/>
  <c r="R246" i="4"/>
  <c r="P246" i="4"/>
  <c r="A246" i="4"/>
  <c r="R245" i="4"/>
  <c r="P245" i="4"/>
  <c r="A245" i="4"/>
  <c r="R244" i="4"/>
  <c r="P244" i="4"/>
  <c r="A244" i="4"/>
  <c r="R243" i="4"/>
  <c r="P243" i="4"/>
  <c r="A243" i="4"/>
  <c r="R242" i="4"/>
  <c r="P242" i="4"/>
  <c r="A242" i="4"/>
  <c r="R241" i="4"/>
  <c r="P241" i="4"/>
  <c r="A241" i="4"/>
  <c r="R240" i="4"/>
  <c r="P240" i="4"/>
  <c r="A240" i="4"/>
  <c r="R239" i="4"/>
  <c r="P239" i="4"/>
  <c r="A239" i="4"/>
  <c r="R238" i="4"/>
  <c r="P238" i="4"/>
  <c r="A238" i="4"/>
  <c r="R237" i="4"/>
  <c r="P237" i="4"/>
  <c r="A237" i="4"/>
  <c r="R236" i="4"/>
  <c r="P236" i="4"/>
  <c r="A236" i="4"/>
  <c r="R235" i="4"/>
  <c r="P235" i="4"/>
  <c r="A235" i="4"/>
  <c r="R234" i="4"/>
  <c r="P234" i="4"/>
  <c r="A234" i="4"/>
  <c r="R233" i="4"/>
  <c r="P233" i="4"/>
  <c r="A233" i="4"/>
  <c r="R232" i="4"/>
  <c r="P232" i="4"/>
  <c r="A232" i="4"/>
  <c r="R231" i="4"/>
  <c r="P231" i="4"/>
  <c r="A231" i="4"/>
  <c r="R230" i="4"/>
  <c r="P230" i="4"/>
  <c r="A230" i="4"/>
  <c r="R229" i="4"/>
  <c r="P229" i="4"/>
  <c r="A229" i="4"/>
  <c r="R228" i="4"/>
  <c r="P228" i="4"/>
  <c r="A228" i="4"/>
  <c r="R227" i="4"/>
  <c r="P227" i="4"/>
  <c r="A227" i="4"/>
  <c r="R226" i="4"/>
  <c r="P226" i="4"/>
  <c r="A226" i="4"/>
  <c r="R225" i="4"/>
  <c r="P225" i="4"/>
  <c r="A225" i="4"/>
  <c r="R224" i="4"/>
  <c r="P224" i="4"/>
  <c r="A224" i="4"/>
  <c r="R223" i="4"/>
  <c r="P223" i="4"/>
  <c r="A223" i="4"/>
  <c r="R222" i="4"/>
  <c r="P222" i="4"/>
  <c r="A222" i="4"/>
  <c r="R221" i="4"/>
  <c r="P221" i="4"/>
  <c r="A221" i="4"/>
  <c r="R220" i="4"/>
  <c r="P220" i="4"/>
  <c r="A220" i="4"/>
  <c r="R219" i="4"/>
  <c r="P219" i="4"/>
  <c r="A219" i="4"/>
  <c r="R218" i="4"/>
  <c r="P218" i="4"/>
  <c r="A218" i="4"/>
  <c r="R217" i="4"/>
  <c r="P217" i="4"/>
  <c r="A217" i="4"/>
  <c r="R216" i="4"/>
  <c r="P216" i="4"/>
  <c r="A216" i="4"/>
  <c r="R215" i="4"/>
  <c r="P215" i="4"/>
  <c r="A215" i="4"/>
  <c r="R214" i="4"/>
  <c r="P214" i="4"/>
  <c r="A214" i="4"/>
  <c r="R213" i="4"/>
  <c r="P213" i="4"/>
  <c r="A213" i="4"/>
  <c r="R212" i="4"/>
  <c r="P212" i="4"/>
  <c r="A212" i="4"/>
  <c r="R211" i="4"/>
  <c r="P211" i="4"/>
  <c r="A211" i="4"/>
  <c r="R210" i="4"/>
  <c r="P210" i="4"/>
  <c r="A210" i="4"/>
  <c r="R209" i="4"/>
  <c r="P209" i="4"/>
  <c r="A209" i="4"/>
  <c r="R208" i="4"/>
  <c r="P208" i="4"/>
  <c r="A208" i="4"/>
  <c r="R207" i="4"/>
  <c r="P207" i="4"/>
  <c r="A207" i="4"/>
  <c r="R206" i="4"/>
  <c r="P206" i="4"/>
  <c r="A206" i="4"/>
  <c r="R205" i="4"/>
  <c r="P205" i="4"/>
  <c r="A205" i="4"/>
  <c r="R204" i="4"/>
  <c r="P204" i="4"/>
  <c r="A204" i="4"/>
  <c r="R203" i="4"/>
  <c r="P203" i="4"/>
  <c r="A203" i="4"/>
  <c r="R202" i="4"/>
  <c r="P202" i="4"/>
  <c r="A202" i="4"/>
  <c r="R201" i="4"/>
  <c r="P201" i="4"/>
  <c r="A201" i="4"/>
  <c r="R200" i="4"/>
  <c r="P200" i="4"/>
  <c r="A200" i="4"/>
  <c r="R199" i="4"/>
  <c r="P199" i="4"/>
  <c r="A199" i="4"/>
  <c r="R198" i="4"/>
  <c r="P198" i="4"/>
  <c r="A198" i="4"/>
  <c r="R197" i="4"/>
  <c r="P197" i="4"/>
  <c r="A197" i="4"/>
  <c r="R196" i="4"/>
  <c r="P196" i="4"/>
  <c r="A196" i="4"/>
  <c r="R195" i="4"/>
  <c r="P195" i="4"/>
  <c r="A195" i="4"/>
  <c r="R194" i="4"/>
  <c r="P194" i="4"/>
  <c r="A194" i="4"/>
  <c r="R193" i="4"/>
  <c r="P193" i="4"/>
  <c r="A193" i="4"/>
  <c r="R192" i="4"/>
  <c r="P192" i="4"/>
  <c r="A192" i="4"/>
  <c r="R191" i="4"/>
  <c r="P191" i="4"/>
  <c r="A191" i="4"/>
  <c r="R190" i="4"/>
  <c r="P190" i="4"/>
  <c r="A190" i="4"/>
  <c r="R189" i="4"/>
  <c r="P189" i="4"/>
  <c r="A189" i="4"/>
  <c r="R188" i="4"/>
  <c r="P188" i="4"/>
  <c r="A188" i="4"/>
  <c r="R187" i="4"/>
  <c r="P187" i="4"/>
  <c r="A187" i="4"/>
  <c r="R186" i="4"/>
  <c r="P186" i="4"/>
  <c r="A186" i="4"/>
  <c r="R185" i="4"/>
  <c r="P185" i="4"/>
  <c r="A185" i="4"/>
  <c r="R184" i="4"/>
  <c r="P184" i="4"/>
  <c r="A184" i="4"/>
  <c r="R183" i="4"/>
  <c r="P183" i="4"/>
  <c r="A183" i="4"/>
  <c r="R182" i="4"/>
  <c r="P182" i="4"/>
  <c r="A182" i="4"/>
  <c r="R181" i="4"/>
  <c r="P181" i="4"/>
  <c r="A181" i="4"/>
  <c r="R180" i="4"/>
  <c r="P180" i="4"/>
  <c r="A180" i="4"/>
  <c r="R179" i="4"/>
  <c r="P179" i="4"/>
  <c r="A179" i="4"/>
  <c r="R178" i="4"/>
  <c r="P178" i="4"/>
  <c r="A178" i="4"/>
  <c r="R177" i="4"/>
  <c r="P177" i="4"/>
  <c r="A177" i="4"/>
  <c r="R176" i="4"/>
  <c r="P176" i="4"/>
  <c r="A176" i="4"/>
  <c r="R175" i="4"/>
  <c r="P175" i="4"/>
  <c r="A175" i="4"/>
  <c r="R174" i="4"/>
  <c r="P174" i="4"/>
  <c r="A174" i="4"/>
  <c r="R173" i="4"/>
  <c r="P173" i="4"/>
  <c r="A173" i="4"/>
  <c r="R172" i="4"/>
  <c r="P172" i="4"/>
  <c r="A172" i="4"/>
  <c r="R171" i="4"/>
  <c r="P171" i="4"/>
  <c r="A171" i="4"/>
  <c r="R170" i="4"/>
  <c r="P170" i="4"/>
  <c r="A170" i="4"/>
  <c r="R169" i="4"/>
  <c r="P169" i="4"/>
  <c r="A169" i="4"/>
  <c r="R168" i="4"/>
  <c r="P168" i="4"/>
  <c r="A168" i="4"/>
  <c r="R167" i="4"/>
  <c r="P167" i="4"/>
  <c r="A167" i="4"/>
  <c r="R166" i="4"/>
  <c r="P166" i="4"/>
  <c r="A166" i="4"/>
  <c r="R165" i="4"/>
  <c r="P165" i="4"/>
  <c r="A165" i="4"/>
  <c r="R164" i="4"/>
  <c r="P164" i="4"/>
  <c r="A164" i="4"/>
  <c r="R163" i="4"/>
  <c r="P163" i="4"/>
  <c r="A163" i="4"/>
  <c r="R162" i="4"/>
  <c r="P162" i="4"/>
  <c r="A162" i="4"/>
  <c r="R161" i="4"/>
  <c r="P161" i="4"/>
  <c r="A161" i="4"/>
  <c r="R160" i="4"/>
  <c r="P160" i="4"/>
  <c r="A160" i="4"/>
  <c r="R159" i="4"/>
  <c r="P159" i="4"/>
  <c r="A159" i="4"/>
  <c r="R158" i="4"/>
  <c r="P158" i="4"/>
  <c r="A158" i="4"/>
  <c r="R157" i="4"/>
  <c r="P157" i="4"/>
  <c r="A157" i="4"/>
  <c r="R156" i="4"/>
  <c r="P156" i="4"/>
  <c r="A156" i="4"/>
  <c r="R155" i="4"/>
  <c r="P155" i="4"/>
  <c r="A155" i="4"/>
  <c r="R154" i="4"/>
  <c r="P154" i="4"/>
  <c r="A154" i="4"/>
  <c r="R153" i="4"/>
  <c r="P153" i="4"/>
  <c r="A153" i="4"/>
  <c r="R152" i="4"/>
  <c r="P152" i="4"/>
  <c r="A152" i="4"/>
  <c r="R151" i="4"/>
  <c r="P151" i="4"/>
  <c r="A151" i="4"/>
  <c r="R150" i="4"/>
  <c r="P150" i="4"/>
  <c r="A150" i="4"/>
  <c r="R149" i="4"/>
  <c r="P149" i="4"/>
  <c r="A149" i="4"/>
  <c r="R148" i="4"/>
  <c r="P148" i="4"/>
  <c r="A148" i="4"/>
  <c r="R147" i="4"/>
  <c r="P147" i="4"/>
  <c r="A147" i="4"/>
  <c r="R146" i="4"/>
  <c r="P146" i="4"/>
  <c r="A146" i="4"/>
  <c r="R145" i="4"/>
  <c r="P145" i="4"/>
  <c r="A145" i="4"/>
  <c r="R144" i="4"/>
  <c r="P144" i="4"/>
  <c r="A144" i="4"/>
  <c r="R143" i="4"/>
  <c r="P143" i="4"/>
  <c r="A143" i="4"/>
  <c r="R142" i="4"/>
  <c r="P142" i="4"/>
  <c r="A142" i="4"/>
  <c r="R141" i="4"/>
  <c r="P141" i="4"/>
  <c r="A141" i="4"/>
  <c r="R140" i="4"/>
  <c r="P140" i="4"/>
  <c r="A140" i="4"/>
  <c r="R139" i="4"/>
  <c r="P139" i="4"/>
  <c r="A139" i="4"/>
  <c r="R138" i="4"/>
  <c r="P138" i="4"/>
  <c r="A138" i="4"/>
  <c r="R137" i="4"/>
  <c r="P137" i="4"/>
  <c r="A137" i="4"/>
  <c r="R136" i="4"/>
  <c r="P136" i="4"/>
  <c r="A136" i="4"/>
  <c r="R135" i="4"/>
  <c r="P135" i="4"/>
  <c r="A135" i="4"/>
  <c r="R134" i="4"/>
  <c r="P134" i="4"/>
  <c r="A134" i="4"/>
  <c r="R133" i="4"/>
  <c r="P133" i="4"/>
  <c r="A133" i="4"/>
  <c r="R132" i="4"/>
  <c r="P132" i="4"/>
  <c r="A132" i="4"/>
  <c r="R131" i="4"/>
  <c r="P131" i="4"/>
  <c r="A131" i="4"/>
  <c r="R130" i="4"/>
  <c r="P130" i="4"/>
  <c r="A130" i="4"/>
  <c r="R129" i="4"/>
  <c r="P129" i="4"/>
  <c r="A129" i="4"/>
  <c r="R128" i="4"/>
  <c r="P128" i="4"/>
  <c r="A128" i="4"/>
  <c r="R127" i="4"/>
  <c r="P127" i="4"/>
  <c r="A127" i="4"/>
  <c r="R126" i="4"/>
  <c r="P126" i="4"/>
  <c r="A126" i="4"/>
  <c r="R125" i="4"/>
  <c r="P125" i="4"/>
  <c r="A125" i="4"/>
  <c r="R124" i="4"/>
  <c r="P124" i="4"/>
  <c r="A124" i="4"/>
  <c r="R123" i="4"/>
  <c r="P123" i="4"/>
  <c r="A123" i="4"/>
  <c r="R122" i="4"/>
  <c r="P122" i="4"/>
  <c r="A122" i="4"/>
  <c r="R121" i="4"/>
  <c r="P121" i="4"/>
  <c r="A121" i="4"/>
  <c r="R120" i="4"/>
  <c r="P120" i="4"/>
  <c r="A120" i="4"/>
  <c r="R119" i="4"/>
  <c r="P119" i="4"/>
  <c r="A119" i="4"/>
  <c r="R118" i="4"/>
  <c r="P118" i="4"/>
  <c r="A118" i="4"/>
  <c r="R117" i="4"/>
  <c r="P117" i="4"/>
  <c r="A117" i="4"/>
  <c r="R116" i="4"/>
  <c r="P116" i="4"/>
  <c r="A116" i="4"/>
  <c r="R115" i="4"/>
  <c r="P115" i="4"/>
  <c r="A115" i="4"/>
  <c r="R114" i="4"/>
  <c r="P114" i="4"/>
  <c r="A114" i="4"/>
  <c r="R113" i="4"/>
  <c r="P113" i="4"/>
  <c r="A113" i="4"/>
  <c r="R112" i="4"/>
  <c r="P112" i="4"/>
  <c r="A112" i="4"/>
  <c r="R111" i="4"/>
  <c r="P111" i="4"/>
  <c r="A111" i="4"/>
  <c r="R110" i="4"/>
  <c r="P110" i="4"/>
  <c r="A110" i="4"/>
  <c r="R109" i="4"/>
  <c r="P109" i="4"/>
  <c r="A109" i="4"/>
  <c r="R108" i="4"/>
  <c r="P108" i="4"/>
  <c r="A108" i="4"/>
  <c r="R107" i="4"/>
  <c r="P107" i="4"/>
  <c r="A107" i="4"/>
  <c r="R106" i="4"/>
  <c r="P106" i="4"/>
  <c r="A106" i="4"/>
  <c r="R105" i="4"/>
  <c r="P105" i="4"/>
  <c r="A105" i="4"/>
  <c r="R104" i="4"/>
  <c r="P104" i="4"/>
  <c r="A104" i="4"/>
  <c r="R103" i="4"/>
  <c r="P103" i="4"/>
  <c r="A103" i="4"/>
  <c r="R102" i="4"/>
  <c r="P102" i="4"/>
  <c r="A102" i="4"/>
  <c r="R101" i="4"/>
  <c r="P101" i="4"/>
  <c r="A101" i="4"/>
  <c r="R100" i="4"/>
  <c r="P100" i="4"/>
  <c r="A100" i="4"/>
  <c r="R99" i="4"/>
  <c r="P99" i="4"/>
  <c r="A99" i="4"/>
  <c r="R98" i="4"/>
  <c r="P98" i="4"/>
  <c r="A98" i="4"/>
  <c r="R97" i="4"/>
  <c r="P97" i="4"/>
  <c r="A97" i="4"/>
  <c r="R96" i="4"/>
  <c r="P96" i="4"/>
  <c r="A96" i="4"/>
  <c r="R95" i="4"/>
  <c r="P95" i="4"/>
  <c r="A95" i="4"/>
  <c r="R94" i="4"/>
  <c r="P94" i="4"/>
  <c r="A94" i="4"/>
  <c r="R93" i="4"/>
  <c r="P93" i="4"/>
  <c r="A93" i="4"/>
  <c r="R92" i="4"/>
  <c r="P92" i="4"/>
  <c r="A92" i="4"/>
  <c r="R91" i="4"/>
  <c r="P91" i="4"/>
  <c r="A91" i="4"/>
  <c r="R90" i="4"/>
  <c r="P90" i="4"/>
  <c r="A90" i="4"/>
  <c r="R89" i="4"/>
  <c r="P89" i="4"/>
  <c r="A89" i="4"/>
  <c r="R88" i="4"/>
  <c r="P88" i="4"/>
  <c r="A88" i="4"/>
  <c r="R87" i="4"/>
  <c r="P87" i="4"/>
  <c r="A87" i="4"/>
  <c r="R86" i="4"/>
  <c r="P86" i="4"/>
  <c r="A86" i="4"/>
  <c r="R85" i="4"/>
  <c r="P85" i="4"/>
  <c r="A85" i="4"/>
  <c r="R84" i="4"/>
  <c r="P84" i="4"/>
  <c r="A84" i="4"/>
  <c r="R83" i="4"/>
  <c r="P83" i="4"/>
  <c r="A83" i="4"/>
  <c r="R82" i="4"/>
  <c r="P82" i="4"/>
  <c r="A82" i="4"/>
  <c r="R81" i="4"/>
  <c r="P81" i="4"/>
  <c r="A81" i="4"/>
  <c r="R80" i="4"/>
  <c r="P80" i="4"/>
  <c r="A80" i="4"/>
  <c r="R79" i="4"/>
  <c r="P79" i="4"/>
  <c r="A79" i="4"/>
  <c r="R78" i="4"/>
  <c r="P78" i="4"/>
  <c r="A78" i="4"/>
  <c r="R77" i="4"/>
  <c r="P77" i="4"/>
  <c r="A77" i="4"/>
  <c r="R76" i="4"/>
  <c r="P76" i="4"/>
  <c r="A76" i="4"/>
  <c r="R75" i="4"/>
  <c r="P75" i="4"/>
  <c r="A75" i="4"/>
  <c r="R74" i="4"/>
  <c r="P74" i="4"/>
  <c r="A74" i="4"/>
  <c r="R73" i="4"/>
  <c r="P73" i="4"/>
  <c r="A73" i="4"/>
  <c r="R72" i="4"/>
  <c r="P72" i="4"/>
  <c r="A72" i="4"/>
  <c r="R71" i="4"/>
  <c r="P71" i="4"/>
  <c r="A71" i="4"/>
  <c r="R70" i="4"/>
  <c r="P70" i="4"/>
  <c r="A70" i="4"/>
  <c r="R69" i="4"/>
  <c r="P69" i="4"/>
  <c r="A69" i="4"/>
  <c r="R68" i="4"/>
  <c r="P68" i="4"/>
  <c r="A68" i="4"/>
  <c r="R67" i="4"/>
  <c r="P67" i="4"/>
  <c r="A67" i="4"/>
  <c r="R66" i="4"/>
  <c r="P66" i="4"/>
  <c r="A66" i="4"/>
  <c r="R65" i="4"/>
  <c r="P65" i="4"/>
  <c r="A65" i="4"/>
  <c r="R64" i="4"/>
  <c r="P64" i="4"/>
  <c r="A64" i="4"/>
  <c r="R63" i="4"/>
  <c r="P63" i="4"/>
  <c r="A63" i="4"/>
  <c r="R62" i="4"/>
  <c r="P62" i="4"/>
  <c r="A62" i="4"/>
  <c r="R61" i="4"/>
  <c r="P61" i="4"/>
  <c r="A61" i="4"/>
  <c r="R60" i="4"/>
  <c r="P60" i="4"/>
  <c r="A60" i="4"/>
  <c r="R59" i="4"/>
  <c r="P59" i="4"/>
  <c r="A59" i="4"/>
  <c r="R58" i="4"/>
  <c r="P58" i="4"/>
  <c r="A58" i="4"/>
  <c r="R57" i="4"/>
  <c r="P57" i="4"/>
  <c r="A57" i="4"/>
  <c r="R56" i="4"/>
  <c r="P56" i="4"/>
  <c r="A56" i="4"/>
  <c r="R55" i="4"/>
  <c r="P55" i="4"/>
  <c r="A55" i="4"/>
  <c r="R54" i="4"/>
  <c r="P54" i="4"/>
  <c r="A54" i="4"/>
  <c r="R53" i="4"/>
  <c r="P53" i="4"/>
  <c r="A53" i="4"/>
  <c r="R52" i="4"/>
  <c r="P52" i="4"/>
  <c r="A52" i="4"/>
  <c r="R51" i="4"/>
  <c r="P51" i="4"/>
  <c r="A51" i="4"/>
  <c r="R50" i="4"/>
  <c r="P50" i="4"/>
  <c r="A50" i="4"/>
  <c r="R49" i="4"/>
  <c r="P49" i="4"/>
  <c r="A49" i="4"/>
  <c r="R48" i="4"/>
  <c r="P48" i="4"/>
  <c r="A48" i="4"/>
  <c r="R47" i="4"/>
  <c r="P47" i="4"/>
  <c r="A47" i="4"/>
  <c r="R46" i="4"/>
  <c r="P46" i="4"/>
  <c r="A46" i="4"/>
  <c r="R45" i="4"/>
  <c r="P45" i="4"/>
  <c r="A45" i="4"/>
  <c r="R44" i="4"/>
  <c r="P44" i="4"/>
  <c r="A44" i="4"/>
  <c r="R43" i="4"/>
  <c r="P43" i="4"/>
  <c r="A43" i="4"/>
  <c r="R42" i="4"/>
  <c r="P42" i="4"/>
  <c r="A42" i="4"/>
  <c r="R41" i="4"/>
  <c r="P41" i="4"/>
  <c r="A41" i="4"/>
  <c r="R40" i="4"/>
  <c r="P40" i="4"/>
  <c r="A40" i="4"/>
  <c r="R39" i="4"/>
  <c r="P39" i="4"/>
  <c r="A39" i="4"/>
  <c r="R38" i="4"/>
  <c r="P38" i="4"/>
  <c r="A38" i="4"/>
  <c r="R37" i="4"/>
  <c r="P37" i="4"/>
  <c r="A37" i="4"/>
  <c r="R36" i="4"/>
  <c r="P36" i="4"/>
  <c r="A36" i="4"/>
  <c r="R35" i="4"/>
  <c r="P35" i="4"/>
  <c r="A35" i="4"/>
  <c r="R34" i="4"/>
  <c r="P34" i="4"/>
  <c r="A34" i="4"/>
  <c r="R33" i="4"/>
  <c r="P33" i="4"/>
  <c r="A33" i="4"/>
  <c r="R32" i="4"/>
  <c r="P32" i="4"/>
  <c r="A32" i="4"/>
  <c r="R31" i="4"/>
  <c r="P31" i="4"/>
  <c r="A31" i="4"/>
  <c r="R30" i="4"/>
  <c r="P30" i="4"/>
  <c r="A30" i="4"/>
  <c r="R29" i="4"/>
  <c r="P29" i="4"/>
  <c r="A29" i="4"/>
  <c r="R28" i="4"/>
  <c r="P28" i="4"/>
  <c r="A28" i="4"/>
  <c r="R27" i="4"/>
  <c r="P27" i="4"/>
  <c r="A27" i="4"/>
  <c r="R26" i="4"/>
  <c r="P26" i="4"/>
  <c r="A26" i="4"/>
  <c r="R25" i="4"/>
  <c r="P25" i="4"/>
  <c r="A25" i="4"/>
  <c r="R24" i="4"/>
  <c r="P24" i="4"/>
  <c r="A24" i="4"/>
  <c r="R23" i="4"/>
  <c r="P23" i="4"/>
  <c r="A23" i="4"/>
  <c r="R22" i="4"/>
  <c r="P22" i="4"/>
  <c r="A22" i="4"/>
  <c r="R21" i="4"/>
  <c r="P21" i="4"/>
  <c r="A21" i="4"/>
  <c r="R20" i="4"/>
  <c r="P20" i="4"/>
  <c r="A20" i="4"/>
  <c r="R19" i="4"/>
  <c r="P19" i="4"/>
  <c r="A19" i="4"/>
  <c r="R18" i="4"/>
  <c r="P18" i="4"/>
  <c r="A18" i="4"/>
  <c r="R17" i="4"/>
  <c r="P17" i="4"/>
  <c r="A17" i="4"/>
  <c r="R16" i="4"/>
  <c r="P16" i="4"/>
  <c r="A16" i="4"/>
  <c r="R15" i="4"/>
  <c r="P15" i="4"/>
  <c r="A15" i="4"/>
  <c r="R14" i="4"/>
  <c r="P14" i="4"/>
  <c r="A14" i="4"/>
  <c r="R13" i="4"/>
  <c r="P13" i="4"/>
  <c r="A13" i="4"/>
  <c r="R12" i="4"/>
  <c r="P12" i="4"/>
  <c r="A12" i="4"/>
  <c r="R11" i="4"/>
  <c r="P11" i="4"/>
  <c r="A11" i="4"/>
  <c r="R10" i="4"/>
  <c r="P10" i="4"/>
  <c r="A10" i="4"/>
  <c r="R9" i="4"/>
  <c r="P9" i="4"/>
  <c r="A9" i="4"/>
  <c r="R8" i="4"/>
  <c r="P8" i="4"/>
  <c r="A8" i="4"/>
  <c r="R7" i="4"/>
  <c r="P7" i="4"/>
  <c r="A7" i="4"/>
  <c r="R6" i="4"/>
  <c r="P6" i="4"/>
  <c r="A6" i="4"/>
  <c r="R5" i="4"/>
  <c r="P5" i="4"/>
  <c r="A5" i="4"/>
  <c r="R4" i="4"/>
  <c r="P4" i="4"/>
  <c r="A4" i="4"/>
  <c r="R3" i="4"/>
  <c r="P3" i="4"/>
  <c r="A3" i="4"/>
  <c r="R2" i="4"/>
  <c r="P2" i="4"/>
  <c r="A2" i="4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<sst xmlns="http://schemas.openxmlformats.org/spreadsheetml/2006/main" count="2185" uniqueCount="213">
  <si>
    <r>
      <rPr>
        <sz val="5"/>
        <rFont val="Arial Black"/>
        <family val="2"/>
      </rPr>
      <t>Term</t>
    </r>
  </si>
  <si>
    <r>
      <rPr>
        <sz val="5"/>
        <rFont val="Arial Black"/>
        <family val="2"/>
      </rPr>
      <t>Question</t>
    </r>
  </si>
  <si>
    <r>
      <rPr>
        <sz val="5"/>
        <rFont val="Arial Black"/>
        <family val="2"/>
      </rPr>
      <t>Excellent</t>
    </r>
  </si>
  <si>
    <r>
      <rPr>
        <sz val="5"/>
        <rFont val="Arial Black"/>
        <family val="2"/>
      </rPr>
      <t>Very Good</t>
    </r>
  </si>
  <si>
    <r>
      <rPr>
        <sz val="5"/>
        <rFont val="Arial Black"/>
        <family val="2"/>
      </rPr>
      <t>Good</t>
    </r>
  </si>
  <si>
    <r>
      <rPr>
        <sz val="5"/>
        <rFont val="Arial Black"/>
        <family val="2"/>
      </rPr>
      <t>Fair</t>
    </r>
  </si>
  <si>
    <r>
      <rPr>
        <sz val="5"/>
        <rFont val="Arial Black"/>
        <family val="2"/>
      </rPr>
      <t>Poor</t>
    </r>
  </si>
  <si>
    <r>
      <rPr>
        <sz val="5"/>
        <rFont val="Arial Black"/>
        <family val="2"/>
      </rPr>
      <t>Spring 2024</t>
    </r>
  </si>
  <si>
    <r>
      <rPr>
        <sz val="5"/>
        <rFont val="Arial Black"/>
        <family val="2"/>
      </rPr>
      <t xml:space="preserve">HSA 6197
</t>
    </r>
    <r>
      <rPr>
        <sz val="5"/>
        <rFont val="Arial Black"/>
        <family val="2"/>
      </rPr>
      <t>Hlth Info Systems</t>
    </r>
  </si>
  <si>
    <r>
      <rPr>
        <sz val="5"/>
        <rFont val="Arial Black"/>
        <family val="2"/>
      </rPr>
      <t>7/28</t>
    </r>
  </si>
  <si>
    <r>
      <rPr>
        <sz val="5"/>
        <rFont val="Arial Black"/>
        <family val="2"/>
      </rPr>
      <t>Online</t>
    </r>
  </si>
  <si>
    <r>
      <rPr>
        <sz val="5"/>
        <rFont val="Arial Black"/>
        <family val="2"/>
      </rPr>
      <t>Description of course objectives and assignments</t>
    </r>
  </si>
  <si>
    <r>
      <rPr>
        <sz val="5"/>
        <rFont val="Arial Black"/>
        <family val="2"/>
      </rPr>
      <t>Expression of expectations for performance in this class</t>
    </r>
  </si>
  <si>
    <r>
      <rPr>
        <sz val="5"/>
        <rFont val="Arial Black"/>
        <family val="2"/>
      </rPr>
      <t>Communication of ideas and information</t>
    </r>
  </si>
  <si>
    <r>
      <rPr>
        <sz val="5"/>
        <rFont val="Arial Black"/>
        <family val="2"/>
      </rPr>
      <t>Stimulation of interest in course</t>
    </r>
  </si>
  <si>
    <r>
      <rPr>
        <sz val="5"/>
        <rFont val="Arial Black"/>
        <family val="2"/>
      </rPr>
      <t>Facilitation of learning</t>
    </r>
  </si>
  <si>
    <r>
      <rPr>
        <sz val="5"/>
        <rFont val="Arial Black"/>
        <family val="2"/>
      </rPr>
      <t>Availability to assist students in or out of class</t>
    </r>
  </si>
  <si>
    <r>
      <rPr>
        <sz val="5"/>
        <rFont val="Arial Black"/>
        <family val="2"/>
      </rPr>
      <t>Respect and concern for students</t>
    </r>
  </si>
  <si>
    <r>
      <rPr>
        <sz val="5"/>
        <rFont val="Arial Black"/>
        <family val="2"/>
      </rPr>
      <t>Overall assessment of instructor</t>
    </r>
  </si>
  <si>
    <r>
      <rPr>
        <sz val="5"/>
        <rFont val="Arial Black"/>
        <family val="2"/>
      </rPr>
      <t xml:space="preserve">HSA 6717
</t>
    </r>
    <r>
      <rPr>
        <sz val="5"/>
        <rFont val="Arial Black"/>
        <family val="2"/>
      </rPr>
      <t>Adv Hlth Mgt Res Sem</t>
    </r>
  </si>
  <si>
    <r>
      <rPr>
        <sz val="5"/>
        <rFont val="Arial Black"/>
        <family val="2"/>
      </rPr>
      <t>5/41</t>
    </r>
  </si>
  <si>
    <r>
      <rPr>
        <sz val="5"/>
        <rFont val="Arial Black"/>
        <family val="2"/>
      </rPr>
      <t xml:space="preserve">HSA 6930
</t>
    </r>
    <r>
      <rPr>
        <sz val="5"/>
        <rFont val="Arial Black"/>
        <family val="2"/>
      </rPr>
      <t>Pro Seminar Hlth Mgt</t>
    </r>
  </si>
  <si>
    <r>
      <rPr>
        <sz val="5"/>
        <rFont val="Arial Black"/>
        <family val="2"/>
      </rPr>
      <t>6/41</t>
    </r>
  </si>
  <si>
    <r>
      <rPr>
        <sz val="5"/>
        <rFont val="Arial Black"/>
        <family val="2"/>
      </rPr>
      <t>Fall 2023</t>
    </r>
  </si>
  <si>
    <r>
      <rPr>
        <sz val="5"/>
        <rFont val="Arial Black"/>
        <family val="2"/>
      </rPr>
      <t>10/41</t>
    </r>
  </si>
  <si>
    <r>
      <rPr>
        <sz val="5"/>
        <rFont val="Arial Black"/>
        <family val="2"/>
      </rPr>
      <t>3/10</t>
    </r>
  </si>
  <si>
    <r>
      <rPr>
        <sz val="5"/>
        <rFont val="Arial Black"/>
        <family val="2"/>
      </rPr>
      <t>Modesto Maidique</t>
    </r>
  </si>
  <si>
    <r>
      <rPr>
        <sz val="5"/>
        <rFont val="Arial Black"/>
        <family val="2"/>
      </rPr>
      <t>Summer 2023</t>
    </r>
  </si>
  <si>
    <r>
      <rPr>
        <sz val="5"/>
        <rFont val="Arial Black"/>
        <family val="2"/>
      </rPr>
      <t>6/19</t>
    </r>
  </si>
  <si>
    <r>
      <rPr>
        <sz val="5"/>
        <rFont val="Arial Black"/>
        <family val="2"/>
      </rPr>
      <t xml:space="preserve">HSA 6717
</t>
    </r>
    <r>
      <rPr>
        <sz val="5"/>
        <rFont val="Arial Black"/>
        <family val="2"/>
      </rPr>
      <t>Adv Hlth Mgt Res</t>
    </r>
  </si>
  <si>
    <r>
      <rPr>
        <sz val="5"/>
        <rFont val="Arial Black"/>
        <family val="2"/>
      </rPr>
      <t>7/18</t>
    </r>
  </si>
  <si>
    <r>
      <rPr>
        <sz val="5"/>
        <rFont val="Arial Black"/>
        <family val="2"/>
      </rPr>
      <t>Spring 2023</t>
    </r>
  </si>
  <si>
    <r>
      <rPr>
        <sz val="5"/>
        <rFont val="Arial Black"/>
        <family val="2"/>
      </rPr>
      <t>3/9</t>
    </r>
  </si>
  <si>
    <r>
      <rPr>
        <sz val="5"/>
        <rFont val="Arial Black"/>
        <family val="2"/>
      </rPr>
      <t>Biscayne Bay</t>
    </r>
  </si>
  <si>
    <r>
      <rPr>
        <sz val="5"/>
        <rFont val="Arial Black"/>
        <family val="2"/>
      </rPr>
      <t>Fall 2022</t>
    </r>
  </si>
  <si>
    <r>
      <rPr>
        <sz val="5"/>
        <rFont val="Arial Black"/>
        <family val="2"/>
      </rPr>
      <t>10/13</t>
    </r>
  </si>
  <si>
    <r>
      <rPr>
        <sz val="5"/>
        <rFont val="Arial Black"/>
        <family val="2"/>
      </rPr>
      <t>Summer 2022</t>
    </r>
  </si>
  <si>
    <r>
      <rPr>
        <sz val="5"/>
        <rFont val="Arial Black"/>
        <family val="2"/>
      </rPr>
      <t>15/32</t>
    </r>
  </si>
  <si>
    <r>
      <rPr>
        <sz val="5"/>
        <rFont val="Arial Black"/>
        <family val="2"/>
      </rPr>
      <t>Spring 2022</t>
    </r>
  </si>
  <si>
    <r>
      <rPr>
        <sz val="5"/>
        <rFont val="Arial Black"/>
        <family val="2"/>
      </rPr>
      <t>5/14</t>
    </r>
  </si>
  <si>
    <r>
      <rPr>
        <sz val="5"/>
        <rFont val="Arial Black"/>
        <family val="2"/>
      </rPr>
      <t>Summer 2021</t>
    </r>
  </si>
  <si>
    <r>
      <rPr>
        <sz val="5"/>
        <rFont val="Arial Black"/>
        <family val="2"/>
      </rPr>
      <t>18/28</t>
    </r>
  </si>
  <si>
    <r>
      <rPr>
        <sz val="5"/>
        <rFont val="Arial Black"/>
        <family val="2"/>
      </rPr>
      <t>Spring 2021</t>
    </r>
  </si>
  <si>
    <r>
      <rPr>
        <sz val="5"/>
        <rFont val="Arial Black"/>
        <family val="2"/>
      </rPr>
      <t>2/12</t>
    </r>
  </si>
  <si>
    <r>
      <rPr>
        <sz val="5"/>
        <rFont val="Arial Black"/>
        <family val="2"/>
      </rPr>
      <t>Other</t>
    </r>
  </si>
  <si>
    <r>
      <rPr>
        <sz val="5"/>
        <rFont val="Arial Black"/>
        <family val="2"/>
      </rPr>
      <t>9/33</t>
    </r>
  </si>
  <si>
    <r>
      <rPr>
        <sz val="5"/>
        <rFont val="Arial Black"/>
        <family val="2"/>
      </rPr>
      <t>9/32</t>
    </r>
  </si>
  <si>
    <r>
      <rPr>
        <sz val="5"/>
        <rFont val="Arial Black"/>
        <family val="2"/>
      </rPr>
      <t>Summer 2020</t>
    </r>
  </si>
  <si>
    <r>
      <rPr>
        <sz val="5"/>
        <rFont val="Arial Black"/>
        <family val="2"/>
      </rPr>
      <t>4/7</t>
    </r>
  </si>
  <si>
    <r>
      <rPr>
        <sz val="5"/>
        <rFont val="Arial Black"/>
        <family val="2"/>
      </rPr>
      <t>12/22</t>
    </r>
  </si>
  <si>
    <r>
      <rPr>
        <sz val="5"/>
        <rFont val="Arial Black"/>
        <family val="2"/>
      </rPr>
      <t>3/8</t>
    </r>
  </si>
  <si>
    <r>
      <rPr>
        <sz val="5"/>
        <rFont val="Arial Black"/>
        <family val="2"/>
      </rPr>
      <t>11/21</t>
    </r>
  </si>
  <si>
    <r>
      <rPr>
        <sz val="5"/>
        <rFont val="Arial Black"/>
        <family val="2"/>
      </rPr>
      <t>Spring 2020</t>
    </r>
  </si>
  <si>
    <r>
      <rPr>
        <sz val="5"/>
        <rFont val="Arial Black"/>
        <family val="2"/>
      </rPr>
      <t xml:space="preserve">HSA 6175
</t>
    </r>
    <r>
      <rPr>
        <sz val="5"/>
        <rFont val="Arial Black"/>
        <family val="2"/>
      </rPr>
      <t>Fin Mgt Hlth Sys</t>
    </r>
  </si>
  <si>
    <r>
      <rPr>
        <sz val="5"/>
        <rFont val="Arial Black"/>
        <family val="2"/>
      </rPr>
      <t>11/12</t>
    </r>
  </si>
  <si>
    <r>
      <rPr>
        <sz val="5"/>
        <rFont val="Arial Black"/>
        <family val="2"/>
      </rPr>
      <t>19/21</t>
    </r>
  </si>
  <si>
    <r>
      <rPr>
        <sz val="5"/>
        <rFont val="Arial Black"/>
        <family val="2"/>
      </rPr>
      <t>25/26</t>
    </r>
  </si>
  <si>
    <r>
      <rPr>
        <sz val="5"/>
        <rFont val="Arial Black"/>
        <family val="2"/>
      </rPr>
      <t>23/27</t>
    </r>
  </si>
  <si>
    <r>
      <rPr>
        <sz val="5"/>
        <rFont val="Arial Black"/>
        <family val="2"/>
      </rPr>
      <t>Fall 2019</t>
    </r>
  </si>
  <si>
    <r>
      <rPr>
        <sz val="5"/>
        <rFont val="Arial Black"/>
        <family val="2"/>
      </rPr>
      <t xml:space="preserve">HSA 5655
</t>
    </r>
    <r>
      <rPr>
        <sz val="5"/>
        <rFont val="Arial Black"/>
        <family val="2"/>
      </rPr>
      <t>Eth Dec Hlth Admin</t>
    </r>
  </si>
  <si>
    <r>
      <rPr>
        <sz val="5"/>
        <rFont val="Arial Black"/>
        <family val="2"/>
      </rPr>
      <t>7/23</t>
    </r>
  </si>
  <si>
    <r>
      <rPr>
        <sz val="5"/>
        <rFont val="Arial Black"/>
        <family val="2"/>
      </rPr>
      <t>Summer 2019</t>
    </r>
  </si>
  <si>
    <r>
      <rPr>
        <sz val="5"/>
        <rFont val="Arial Black"/>
        <family val="2"/>
      </rPr>
      <t>10/18</t>
    </r>
  </si>
  <si>
    <r>
      <rPr>
        <sz val="5"/>
        <rFont val="Arial Black"/>
        <family val="2"/>
      </rPr>
      <t>9/19</t>
    </r>
  </si>
  <si>
    <r>
      <rPr>
        <sz val="5"/>
        <rFont val="Arial Black"/>
        <family val="2"/>
      </rPr>
      <t>6/18</t>
    </r>
  </si>
  <si>
    <r>
      <rPr>
        <sz val="5"/>
        <rFont val="Arial Black"/>
        <family val="2"/>
      </rPr>
      <t>8/19</t>
    </r>
  </si>
  <si>
    <r>
      <rPr>
        <sz val="5"/>
        <rFont val="Arial Black"/>
        <family val="2"/>
      </rPr>
      <t>Spring 2019</t>
    </r>
  </si>
  <si>
    <r>
      <rPr>
        <sz val="5"/>
        <rFont val="Arial Black"/>
        <family val="2"/>
      </rPr>
      <t>11/23</t>
    </r>
  </si>
  <si>
    <r>
      <rPr>
        <sz val="5"/>
        <rFont val="Arial Black"/>
        <family val="2"/>
      </rPr>
      <t xml:space="preserve">HSA 6187
</t>
    </r>
    <r>
      <rPr>
        <sz val="5"/>
        <rFont val="Arial Black"/>
        <family val="2"/>
      </rPr>
      <t>Mgt HR Hlth Prof</t>
    </r>
  </si>
  <si>
    <r>
      <rPr>
        <sz val="5"/>
        <rFont val="Arial Black"/>
        <family val="2"/>
      </rPr>
      <t>7/19</t>
    </r>
  </si>
  <si>
    <r>
      <rPr>
        <sz val="5"/>
        <rFont val="Arial Black"/>
        <family val="2"/>
      </rPr>
      <t>15/23</t>
    </r>
  </si>
  <si>
    <r>
      <rPr>
        <sz val="5"/>
        <rFont val="Arial Black"/>
        <family val="2"/>
      </rPr>
      <t>14/23</t>
    </r>
  </si>
  <si>
    <r>
      <rPr>
        <sz val="5"/>
        <rFont val="Arial Black"/>
        <family val="2"/>
      </rPr>
      <t>Fall 2018</t>
    </r>
  </si>
  <si>
    <r>
      <rPr>
        <sz val="5"/>
        <rFont val="Arial Black"/>
        <family val="2"/>
      </rPr>
      <t xml:space="preserve">HSA 3412C
</t>
    </r>
    <r>
      <rPr>
        <sz val="5"/>
        <rFont val="Arial Black"/>
        <family val="2"/>
      </rPr>
      <t>Cultural Competency in HSC</t>
    </r>
  </si>
  <si>
    <r>
      <rPr>
        <sz val="5"/>
        <rFont val="Arial Black"/>
        <family val="2"/>
      </rPr>
      <t>27/31</t>
    </r>
  </si>
  <si>
    <r>
      <rPr>
        <sz val="5"/>
        <rFont val="Arial Black"/>
        <family val="2"/>
      </rPr>
      <t xml:space="preserve">HSA 4170
</t>
    </r>
    <r>
      <rPr>
        <sz val="5"/>
        <rFont val="Arial Black"/>
        <family val="2"/>
      </rPr>
      <t>Hlthcr Fincl Mgt</t>
    </r>
  </si>
  <si>
    <r>
      <rPr>
        <sz val="5"/>
        <rFont val="Arial Black"/>
        <family val="2"/>
      </rPr>
      <t xml:space="preserve">HSA 4431
</t>
    </r>
    <r>
      <rPr>
        <sz val="5"/>
        <rFont val="Arial Black"/>
        <family val="2"/>
      </rPr>
      <t>Values/Ethics &amp; Conf</t>
    </r>
  </si>
  <si>
    <r>
      <rPr>
        <sz val="5"/>
        <rFont val="Arial Black"/>
        <family val="2"/>
      </rPr>
      <t>51/56</t>
    </r>
  </si>
  <si>
    <r>
      <rPr>
        <sz val="5"/>
        <rFont val="Arial Black"/>
        <family val="2"/>
      </rPr>
      <t xml:space="preserve">HSA 4700
</t>
    </r>
    <r>
      <rPr>
        <sz val="5"/>
        <rFont val="Arial Black"/>
        <family val="2"/>
      </rPr>
      <t>Qlty Evdn Bsd Hlthcr Srvcs</t>
    </r>
  </si>
  <si>
    <r>
      <rPr>
        <sz val="5"/>
        <rFont val="Arial Black"/>
        <family val="2"/>
      </rPr>
      <t>71/92</t>
    </r>
  </si>
  <si>
    <t xml:space="preserve">Campus </t>
  </si>
  <si>
    <t>Response Rate</t>
  </si>
  <si>
    <t>Course Name</t>
  </si>
  <si>
    <t>excelent + very good &gt; 75%?</t>
  </si>
  <si>
    <t>Question</t>
  </si>
  <si>
    <t>Excellent</t>
  </si>
  <si>
    <t>Very Good</t>
  </si>
  <si>
    <t>Good</t>
  </si>
  <si>
    <t>Fair</t>
  </si>
  <si>
    <t>Poor</t>
  </si>
  <si>
    <t>Description of course objectives and assignments</t>
  </si>
  <si>
    <t>Expression of expectations for performance in this class</t>
  </si>
  <si>
    <t>Communication of ideas and information</t>
  </si>
  <si>
    <t>Stimulation of interest in course</t>
  </si>
  <si>
    <t>Facilitation of learning</t>
  </si>
  <si>
    <t>Availability to assist students in or out of class</t>
  </si>
  <si>
    <t>Respect and concern for students</t>
  </si>
  <si>
    <t>Overall assessment of instructor</t>
  </si>
  <si>
    <t>HSA 4700 Qlty Evdn Bsd Hlthcr Srvcs</t>
  </si>
  <si>
    <t>71/92</t>
  </si>
  <si>
    <t>Term</t>
  </si>
  <si>
    <t>Row Labels</t>
  </si>
  <si>
    <t>Grand Total</t>
  </si>
  <si>
    <t>HSA 6717
Adv Hlth Mgt Res Sem</t>
  </si>
  <si>
    <t>HSA 6930
Pro Seminar Hlth Mgt</t>
  </si>
  <si>
    <t>Year</t>
  </si>
  <si>
    <t>Goal</t>
  </si>
  <si>
    <t>Total students</t>
  </si>
  <si>
    <t>Response</t>
  </si>
  <si>
    <t>Biscayne Bay</t>
  </si>
  <si>
    <t>Modesto Maidique</t>
  </si>
  <si>
    <t>Online</t>
  </si>
  <si>
    <t>Other</t>
  </si>
  <si>
    <t>2/12</t>
  </si>
  <si>
    <t>Fall 2018</t>
  </si>
  <si>
    <t>Fall 2019</t>
  </si>
  <si>
    <t>10/13</t>
  </si>
  <si>
    <t>51/56</t>
  </si>
  <si>
    <t>27/31</t>
  </si>
  <si>
    <t>Spring 2019</t>
  </si>
  <si>
    <t>7/19</t>
  </si>
  <si>
    <t>7/23</t>
  </si>
  <si>
    <t>Spring 2020</t>
  </si>
  <si>
    <t>19/21</t>
  </si>
  <si>
    <t>Summer 2020</t>
  </si>
  <si>
    <t>11/21</t>
  </si>
  <si>
    <t>4/7</t>
  </si>
  <si>
    <t>Summer 2021</t>
  </si>
  <si>
    <t>18/28</t>
  </si>
  <si>
    <t>Spring 2021</t>
  </si>
  <si>
    <t>9/33</t>
  </si>
  <si>
    <t>9/32</t>
  </si>
  <si>
    <t>Spring 2022</t>
  </si>
  <si>
    <t>5/14</t>
  </si>
  <si>
    <t>Fall 2022</t>
  </si>
  <si>
    <t>Fall 2023</t>
  </si>
  <si>
    <t>10/41</t>
  </si>
  <si>
    <t>Spring 2024</t>
  </si>
  <si>
    <t>5/41</t>
  </si>
  <si>
    <t>7/28</t>
  </si>
  <si>
    <t>6/41</t>
  </si>
  <si>
    <t>3/10</t>
  </si>
  <si>
    <t>Summer 2023</t>
  </si>
  <si>
    <t>6/19</t>
  </si>
  <si>
    <t>7/18</t>
  </si>
  <si>
    <t>Spring 2023</t>
  </si>
  <si>
    <t>3/9</t>
  </si>
  <si>
    <t>Summer 2022</t>
  </si>
  <si>
    <t>15/32</t>
  </si>
  <si>
    <t>12/22</t>
  </si>
  <si>
    <t>3/8</t>
  </si>
  <si>
    <t>11/12</t>
  </si>
  <si>
    <t>25/26</t>
  </si>
  <si>
    <t>23/27</t>
  </si>
  <si>
    <t>Summer 2019</t>
  </si>
  <si>
    <t>10/18</t>
  </si>
  <si>
    <t>9/19</t>
  </si>
  <si>
    <t>6/18</t>
  </si>
  <si>
    <t>8/19</t>
  </si>
  <si>
    <t>11/23</t>
  </si>
  <si>
    <t>15/23</t>
  </si>
  <si>
    <t>14/23</t>
  </si>
  <si>
    <r>
      <rPr>
        <sz val="8"/>
        <rFont val="Times New Roman"/>
        <family val="1"/>
      </rPr>
      <t>HSA 6197
Hlth Info Systems</t>
    </r>
  </si>
  <si>
    <r>
      <rPr>
        <sz val="8"/>
        <rFont val="Times New Roman"/>
        <family val="1"/>
      </rPr>
      <t>HSA 6717
Adv Hlth Mgt Res Sem</t>
    </r>
  </si>
  <si>
    <r>
      <rPr>
        <sz val="8"/>
        <rFont val="Times New Roman"/>
        <family val="1"/>
      </rPr>
      <t>HSA 6930
Pro Seminar Hlth Mgt</t>
    </r>
  </si>
  <si>
    <r>
      <rPr>
        <sz val="8"/>
        <rFont val="Times New Roman"/>
        <family val="1"/>
      </rPr>
      <t>HSA 6175
Fin Mgt Hlth Sys</t>
    </r>
  </si>
  <si>
    <r>
      <rPr>
        <sz val="8"/>
        <rFont val="Times New Roman"/>
        <family val="1"/>
      </rPr>
      <t>HSA 5655
Eth Dec Hlth Admin</t>
    </r>
  </si>
  <si>
    <r>
      <rPr>
        <sz val="8"/>
        <rFont val="Times New Roman"/>
        <family val="1"/>
      </rPr>
      <t>HSA 6187
Mgt HR Hlth Prof</t>
    </r>
  </si>
  <si>
    <r>
      <rPr>
        <sz val="8"/>
        <rFont val="Times New Roman"/>
        <family val="1"/>
      </rPr>
      <t>HSA 3412C
Cultural Competency in HSC</t>
    </r>
  </si>
  <si>
    <r>
      <rPr>
        <sz val="8"/>
        <rFont val="Times New Roman"/>
        <family val="1"/>
      </rPr>
      <t>HSA 4170
Hlthcr Fincl Mgt</t>
    </r>
  </si>
  <si>
    <r>
      <rPr>
        <sz val="8"/>
        <rFont val="Times New Roman"/>
        <family val="1"/>
      </rPr>
      <t>HSA 4431
Values/Ethics &amp; Conf</t>
    </r>
  </si>
  <si>
    <t>Score</t>
  </si>
  <si>
    <t>HSA 3412C
Cultural Competency in HSC</t>
  </si>
  <si>
    <t>HSA 5655
Eth Dec Hlth Admin</t>
  </si>
  <si>
    <t>Average of Score</t>
  </si>
  <si>
    <t>(Multiple Items)</t>
  </si>
  <si>
    <t>2018</t>
  </si>
  <si>
    <t>2019</t>
  </si>
  <si>
    <t>2020</t>
  </si>
  <si>
    <t>2021</t>
  </si>
  <si>
    <t>2022</t>
  </si>
  <si>
    <t>2023</t>
  </si>
  <si>
    <t>2024</t>
  </si>
  <si>
    <t>HSA 4170
Hlthcr Fincl Mgt</t>
  </si>
  <si>
    <t>this chart was made using all the questions, all over the 6 years</t>
  </si>
  <si>
    <t>the error bar is standart error</t>
  </si>
  <si>
    <t>HSA 6197
Hlth Info Systems</t>
  </si>
  <si>
    <t>HSA 4431
Values/Ethics &amp; Conf</t>
  </si>
  <si>
    <t>Termm</t>
  </si>
  <si>
    <t>Name_course</t>
  </si>
  <si>
    <t>average term</t>
  </si>
  <si>
    <t>18 Fal</t>
  </si>
  <si>
    <t>19 Fal</t>
  </si>
  <si>
    <t>19 Spr</t>
  </si>
  <si>
    <t>19 Sum</t>
  </si>
  <si>
    <t>20 Spr</t>
  </si>
  <si>
    <t>20 Sum</t>
  </si>
  <si>
    <t>21 Spr</t>
  </si>
  <si>
    <t>21 Sum</t>
  </si>
  <si>
    <t>22 Fal</t>
  </si>
  <si>
    <t>22 Spr</t>
  </si>
  <si>
    <t>22 Sum</t>
  </si>
  <si>
    <t>23 Fal</t>
  </si>
  <si>
    <t>23 Spr</t>
  </si>
  <si>
    <t>23 Sum</t>
  </si>
  <si>
    <t>24 Spr</t>
  </si>
  <si>
    <t>Average</t>
  </si>
  <si>
    <t>Score2</t>
  </si>
  <si>
    <t>Excelent (5)</t>
  </si>
  <si>
    <t>Very Good (4)</t>
  </si>
  <si>
    <t>Good (3)</t>
  </si>
  <si>
    <t>Fair (2)</t>
  </si>
  <si>
    <t>Poor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</si>
</sst>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color rgb="FF000000"/>
      <name val="Times New Roman"/>
      <charset val="204"/>
    </font>
    <font>
      <sz val="5"/>
      <name val="Arial Black"/>
      <family val="2"/>
    </font>
    <font>
      <sz val="5.5"/>
      <color rgb="FF000000"/>
      <name val="Arial Black"/>
      <family val="2"/>
    </font>
    <font>
      <sz val="10"/>
      <color rgb="FF000000"/>
      <name val="Times New Roman"/>
      <family val="1"/>
    </font>
    <font>
      <sz val="8"/>
      <name val="Times New Roman"/>
      <family val="1"/>
    </font>
    <font>
      <b/>
      <sz val="8"/>
      <color rgb="FF000000"/>
      <name val="Times New Roman"/>
      <family val="1"/>
    </font>
    <font>
      <b/>
      <sz val="8"/>
      <name val="Times New Roman"/>
      <family val="1"/>
    </font>
    <font>
      <sz val="8"/>
      <color rgb="FF000000"/>
      <name val="Times New Roman"/>
      <family val="1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90"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top" shrinkToFit="1"/>
    </xf>
    <xf numFmtId="0" fontId="1" fillId="2" borderId="3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1" fillId="2" borderId="4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top" wrapText="1" shrinkToFi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top" wrapText="1"/>
    </xf>
    <xf numFmtId="164" fontId="2" fillId="2" borderId="2" xfId="0" applyNumberFormat="1" applyFont="1" applyFill="1" applyBorder="1" applyAlignment="1">
      <alignment horizontal="center" vertical="top" shrinkToFi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left" vertical="top" wrapText="1"/>
    </xf>
    <xf numFmtId="164" fontId="2" fillId="2" borderId="4" xfId="0" applyNumberFormat="1" applyFont="1" applyFill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 vertical="top"/>
    </xf>
    <xf numFmtId="164" fontId="2" fillId="2" borderId="2" xfId="0" applyNumberFormat="1" applyFont="1" applyFill="1" applyBorder="1" applyAlignment="1">
      <alignment horizontal="center" vertical="top" wrapText="1" shrinkToFit="1"/>
    </xf>
    <xf numFmtId="0" fontId="1" fillId="2" borderId="5" xfId="0" applyFont="1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1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top" shrinkToFit="1"/>
    </xf>
    <xf numFmtId="164" fontId="2" fillId="2" borderId="5" xfId="0" applyNumberFormat="1" applyFont="1" applyFill="1" applyBorder="1" applyAlignment="1">
      <alignment horizontal="center" vertical="top" wrapText="1" shrinkToFit="1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horizontal="left" vertical="top"/>
    </xf>
    <xf numFmtId="0" fontId="0" fillId="0" borderId="0" xfId="0" pivotButton="1" applyAlignment="1">
      <alignment horizontal="left" vertical="top"/>
    </xf>
    <xf numFmtId="10" fontId="1" fillId="2" borderId="5" xfId="0" applyNumberFormat="1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horizontal="center" vertical="top"/>
    </xf>
    <xf numFmtId="10" fontId="1" fillId="2" borderId="2" xfId="0" applyNumberFormat="1" applyFont="1" applyFill="1" applyBorder="1" applyAlignment="1">
      <alignment vertical="center"/>
    </xf>
    <xf numFmtId="10" fontId="1" fillId="2" borderId="3" xfId="0" applyNumberFormat="1" applyFont="1" applyFill="1" applyBorder="1" applyAlignment="1">
      <alignment vertical="center"/>
    </xf>
    <xf numFmtId="10" fontId="1" fillId="2" borderId="4" xfId="0" applyNumberFormat="1" applyFont="1" applyFill="1" applyBorder="1" applyAlignment="1">
      <alignment vertical="center"/>
    </xf>
    <xf numFmtId="10" fontId="1" fillId="2" borderId="2" xfId="0" applyNumberFormat="1" applyFont="1" applyFill="1" applyBorder="1"/>
    <xf numFmtId="10" fontId="1" fillId="2" borderId="3" xfId="0" applyNumberFormat="1" applyFont="1" applyFill="1" applyBorder="1"/>
    <xf numFmtId="10" fontId="1" fillId="2" borderId="3" xfId="0" applyNumberFormat="1" applyFont="1" applyFill="1" applyBorder="1" applyAlignment="1">
      <alignment vertical="top"/>
    </xf>
    <xf numFmtId="10" fontId="1" fillId="2" borderId="4" xfId="0" applyNumberFormat="1" applyFont="1" applyFill="1" applyBorder="1" applyAlignment="1">
      <alignment vertical="top"/>
    </xf>
    <xf numFmtId="10" fontId="0" fillId="2" borderId="0" xfId="0" applyNumberFormat="1" applyFill="1" applyAlignment="1">
      <alignment horizontal="center" vertical="top"/>
    </xf>
    <xf numFmtId="0" fontId="5" fillId="0" borderId="0" xfId="0" applyFont="1"/>
    <xf numFmtId="0" fontId="6" fillId="2" borderId="5" xfId="0" applyFont="1" applyFill="1" applyBorder="1" applyAlignment="1">
      <alignment vertical="top"/>
    </xf>
    <xf numFmtId="0" fontId="6" fillId="2" borderId="5" xfId="0" applyFont="1" applyFill="1" applyBorder="1" applyAlignment="1">
      <alignment horizontal="left" vertical="top"/>
    </xf>
    <xf numFmtId="10" fontId="6" fillId="2" borderId="5" xfId="0" applyNumberFormat="1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top"/>
    </xf>
    <xf numFmtId="12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top"/>
    </xf>
    <xf numFmtId="12" fontId="4" fillId="2" borderId="5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12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top" wrapText="1"/>
    </xf>
    <xf numFmtId="164" fontId="7" fillId="2" borderId="5" xfId="0" applyNumberFormat="1" applyFont="1" applyFill="1" applyBorder="1" applyAlignment="1">
      <alignment horizontal="center" vertical="top" shrinkToFit="1"/>
    </xf>
    <xf numFmtId="164" fontId="5" fillId="0" borderId="0" xfId="0" applyNumberFormat="1" applyFont="1"/>
    <xf numFmtId="0" fontId="7" fillId="0" borderId="0" xfId="0" applyFont="1"/>
    <xf numFmtId="164" fontId="7" fillId="2" borderId="5" xfId="0" applyNumberFormat="1" applyFont="1" applyFill="1" applyBorder="1" applyAlignment="1">
      <alignment horizontal="center" vertical="top" wrapText="1" shrinkToFit="1"/>
    </xf>
    <xf numFmtId="12" fontId="4" fillId="2" borderId="5" xfId="0" applyNumberFormat="1" applyFont="1" applyFill="1" applyBorder="1"/>
    <xf numFmtId="0" fontId="4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left" vertical="top"/>
    </xf>
    <xf numFmtId="10" fontId="7" fillId="2" borderId="5" xfId="0" applyNumberFormat="1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center" vertical="top"/>
    </xf>
    <xf numFmtId="0" fontId="7" fillId="2" borderId="5" xfId="0" applyFont="1" applyFill="1" applyBorder="1" applyAlignment="1">
      <alignment horizontal="left" vertical="top" wrapText="1"/>
    </xf>
    <xf numFmtId="0" fontId="7" fillId="2" borderId="5" xfId="0" applyNumberFormat="1" applyFont="1" applyFill="1" applyBorder="1" applyAlignment="1">
      <alignment horizontal="center" vertical="top" shrinkToFit="1"/>
    </xf>
    <xf numFmtId="0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3" borderId="0" xfId="1"/>
    <xf numFmtId="0" fontId="8" fillId="3" borderId="5" xfId="1" applyBorder="1" applyAlignment="1">
      <alignment vertical="top"/>
    </xf>
    <xf numFmtId="12" fontId="8" fillId="3" borderId="5" xfId="1" applyNumberFormat="1" applyBorder="1" applyAlignment="1">
      <alignment vertical="center"/>
    </xf>
    <xf numFmtId="0" fontId="8" fillId="3" borderId="5" xfId="1" applyBorder="1" applyAlignment="1">
      <alignment vertical="center"/>
    </xf>
    <xf numFmtId="12" fontId="8" fillId="3" borderId="5" xfId="1" applyNumberFormat="1" applyBorder="1" applyAlignment="1">
      <alignment horizontal="center" vertical="center"/>
    </xf>
    <xf numFmtId="0" fontId="8" fillId="3" borderId="5" xfId="1" applyBorder="1" applyAlignment="1">
      <alignment horizontal="center" vertical="center"/>
    </xf>
    <xf numFmtId="0" fontId="8" fillId="3" borderId="5" xfId="1" applyBorder="1" applyAlignment="1">
      <alignment horizontal="left" vertical="top" wrapText="1"/>
    </xf>
    <xf numFmtId="164" fontId="8" fillId="3" borderId="5" xfId="1" applyNumberFormat="1" applyBorder="1" applyAlignment="1">
      <alignment horizontal="center" vertical="top" wrapText="1" shrinkToFit="1"/>
    </xf>
    <xf numFmtId="0" fontId="8" fillId="3" borderId="5" xfId="1" applyNumberFormat="1" applyBorder="1" applyAlignment="1">
      <alignment horizontal="center" vertical="top" shrinkToFit="1"/>
    </xf>
    <xf numFmtId="164" fontId="8" fillId="3" borderId="0" xfId="1" applyNumberFormat="1"/>
    <xf numFmtId="12" fontId="8" fillId="3" borderId="5" xfId="1" applyNumberFormat="1" applyBorder="1"/>
    <xf numFmtId="0" fontId="0" fillId="0" borderId="0" xfId="0" applyAlignment="1">
      <alignment horizontal="left" vertical="top" indent="1"/>
    </xf>
    <xf numFmtId="0" fontId="6" fillId="2" borderId="0" xfId="0" applyFont="1" applyFill="1" applyBorder="1" applyAlignment="1">
      <alignment horizontal="center" vertical="center" wrapText="1"/>
    </xf>
    <xf numFmtId="0" fontId="7" fillId="2" borderId="0" xfId="0" applyNumberFormat="1" applyFont="1" applyFill="1" applyBorder="1" applyAlignment="1">
      <alignment horizontal="center" vertical="top" shrinkToFit="1"/>
    </xf>
    <xf numFmtId="0" fontId="7" fillId="2" borderId="0" xfId="0" applyFont="1" applyFill="1" applyBorder="1" applyAlignment="1">
      <alignment horizontal="left" vertical="top" wrapText="1"/>
    </xf>
  </cellXfs>
  <cellStyles count="2">
    <cellStyle name="Good" xfId="1" builtinId="26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111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16th version updated2.xlsx]chart1_scores x courses!PivotTable1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Courses evaluation 2018-2024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2">
                  <a:lumMod val="40000"/>
                  <a:lumOff val="60000"/>
                </a:schemeClr>
              </a:gs>
              <a:gs pos="48000">
                <a:schemeClr val="accent2">
                  <a:lumMod val="95000"/>
                  <a:lumOff val="5000"/>
                </a:schemeClr>
              </a:gs>
              <a:gs pos="100000">
                <a:schemeClr val="accent2">
                  <a:lumMod val="60000"/>
                </a:schemeClr>
              </a:gs>
            </a:gsLst>
            <a:path path="rect">
              <a:fillToRect l="100000" t="100000"/>
            </a:path>
            <a:tileRect r="-100000" b="-10000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434781326491491E-2"/>
          <c:y val="0.11056910569105691"/>
          <c:w val="0.85164012504054976"/>
          <c:h val="0.690558094872287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'chart1_scores x courses'!$B$6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40000"/>
                    <a:lumOff val="60000"/>
                  </a:schemeClr>
                </a:gs>
                <a:gs pos="48000">
                  <a:schemeClr val="accent2">
                    <a:lumMod val="95000"/>
                    <a:lumOff val="5000"/>
                  </a:schemeClr>
                </a:gs>
                <a:gs pos="100000">
                  <a:schemeClr val="accent2">
                    <a:lumMod val="60000"/>
                  </a:schemeClr>
                </a:gs>
              </a:gsLst>
              <a:path path="rect">
                <a:fillToRect l="100000" t="100000"/>
              </a:path>
              <a:tileRect r="-100000" b="-10000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'chart1_scores x courses'!$A$7:$A$15</c:f>
              <c:strCache>
                <c:ptCount val="8"/>
                <c:pt idx="0">
                  <c:v>HSA 4170
Hlthcr Fincl Mgt</c:v>
                </c:pt>
                <c:pt idx="1">
                  <c:v>HSA 6197
Hlth Info Systems</c:v>
                </c:pt>
                <c:pt idx="2">
                  <c:v>HSA 4700 Qlty Evdn Bsd Hlthcr Srvcs</c:v>
                </c:pt>
                <c:pt idx="3">
                  <c:v>HSA 6717
Adv Hlth Mgt Res Sem</c:v>
                </c:pt>
                <c:pt idx="4">
                  <c:v>HSA 6930
Pro Seminar Hlth Mgt</c:v>
                </c:pt>
                <c:pt idx="5">
                  <c:v>HSA 4431
Values/Ethics &amp; Conf</c:v>
                </c:pt>
                <c:pt idx="6">
                  <c:v>HSA 5655
Eth Dec Hlth Admin</c:v>
                </c:pt>
                <c:pt idx="7">
                  <c:v>HSA 3412C
Cultural Competency in HSC</c:v>
                </c:pt>
              </c:strCache>
            </c:strRef>
          </c:cat>
          <c:val>
            <c:numRef>
              <c:f>'chart1_scores x courses'!$B$7:$B$15</c:f>
              <c:numCache>
                <c:formatCode>General</c:formatCode>
                <c:ptCount val="8"/>
                <c:pt idx="0">
                  <c:v>3.627875</c:v>
                </c:pt>
                <c:pt idx="1">
                  <c:v>3.7732499999999991</c:v>
                </c:pt>
                <c:pt idx="2">
                  <c:v>3.917875</c:v>
                </c:pt>
                <c:pt idx="3">
                  <c:v>4.0641527777777773</c:v>
                </c:pt>
                <c:pt idx="4">
                  <c:v>4.2464750000000011</c:v>
                </c:pt>
                <c:pt idx="5">
                  <c:v>4.3744999999999994</c:v>
                </c:pt>
                <c:pt idx="6">
                  <c:v>4.4107499999999993</c:v>
                </c:pt>
                <c:pt idx="7">
                  <c:v>4.7039999999999997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8-47CC-A9E3-EA5820C69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030080"/>
        <c:axId val="43070800"/>
      </c:barChart>
      <c:catAx>
        <c:axId val="8503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Courses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70800"/>
        <c:crosses val="autoZero"/>
        <c:auto val="1"/>
        <c:lblAlgn val="ctr"/>
        <c:lblOffset val="100"/>
        <c:noMultiLvlLbl val="0"/>
      </c:catAx>
      <c:valAx>
        <c:axId val="43070800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Score</a:t>
                </a:r>
              </a:p>
            </c:rich>
          </c:tx>
          <c:layout>
            <c:manualLayout>
              <c:xMode val="edge"/>
              <c:yMode val="edge"/>
              <c:x val="1.0917602996254681E-2"/>
              <c:y val="0.43379937263939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dk1">
                <a:tint val="75000"/>
                <a:alpha val="9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00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5215810488278203E-2"/>
          <c:w val="1"/>
          <c:h val="0.89616412355235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2850749177506324E-3"/>
                  <c:y val="4.117984271493617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B9D8026-06BB-4AED-8C8D-26B1E052E614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933290951866092"/>
                      <c:h val="0.1438962644202178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900-4CBD-A22D-FF81F00B5DA8}"/>
                </c:ext>
              </c:extLst>
            </c:dLbl>
            <c:dLbl>
              <c:idx val="1"/>
              <c:layout>
                <c:manualLayout>
                  <c:x val="0"/>
                  <c:y val="7.06154792851850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DC34A5-5AC7-4B41-83EE-16AEDA99980E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804824062774066"/>
                      <c:h val="8.65160331912846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900-4CBD-A22D-FF81F00B5DA8}"/>
                </c:ext>
              </c:extLst>
            </c:dLbl>
            <c:dLbl>
              <c:idx val="2"/>
              <c:layout>
                <c:manualLayout>
                  <c:x val="3.2044217481891207E-2"/>
                  <c:y val="6.39512765782189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9E88EC9-DD34-46AF-BDBD-50189A568D39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92282242010553"/>
                      <c:h val="7.85184998259741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900-4CBD-A22D-FF81F00B5DA8}"/>
                </c:ext>
              </c:extLst>
            </c:dLbl>
            <c:dLbl>
              <c:idx val="3"/>
              <c:layout>
                <c:manualLayout>
                  <c:x val="0.10018451019243352"/>
                  <c:y val="5.2080858444870842E-2"/>
                </c:manualLayout>
              </c:layout>
              <c:tx>
                <c:rich>
                  <a:bodyPr/>
                  <a:lstStyle/>
                  <a:p>
                    <a:fld id="{1E115B4D-97ED-4911-AA2C-C6CD34C7F5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051579328362019"/>
                      <c:h val="7.549506895088853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00-4CBD-A22D-FF81F00B5DA8}"/>
                </c:ext>
              </c:extLst>
            </c:dLbl>
            <c:dLbl>
              <c:idx val="4"/>
              <c:layout>
                <c:manualLayout>
                  <c:x val="6.9760629782416025E-2"/>
                  <c:y val="4.797280150152624E-2"/>
                </c:manualLayout>
              </c:layout>
              <c:tx>
                <c:rich>
                  <a:bodyPr/>
                  <a:lstStyle/>
                  <a:p>
                    <a:fld id="{0AC0A333-DE14-486E-A5AA-C740D0F549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62262706319635"/>
                      <c:h val="7.549506895088853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900-4CBD-A22D-FF81F00B5D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xVal>
          <c:yVal>
            <c:numRef>
              <c:f>'Helper table'!$A$2:$A$6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'Helper table'!$B$2:$B$6</c15:f>
                <c15:dlblRangeCache>
                  <c:ptCount val="5"/>
                  <c:pt idx="0">
                    <c:v>Excelent (5)</c:v>
                  </c:pt>
                  <c:pt idx="1">
                    <c:v>Very Good (4)</c:v>
                  </c:pt>
                  <c:pt idx="2">
                    <c:v>Good (3)</c:v>
                  </c:pt>
                  <c:pt idx="3">
                    <c:v>Fair (2)</c:v>
                  </c:pt>
                  <c:pt idx="4">
                    <c:v>Poor (1)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900-4CBD-A22D-FF81F00B5DA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80004943"/>
        <c:axId val="1919910031"/>
      </c:scatterChart>
      <c:valAx>
        <c:axId val="208000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9910031"/>
        <c:crosses val="autoZero"/>
        <c:crossBetween val="midCat"/>
      </c:valAx>
      <c:valAx>
        <c:axId val="1919910031"/>
        <c:scaling>
          <c:orientation val="minMax"/>
          <c:max val="5"/>
        </c:scaling>
        <c:delete val="1"/>
        <c:axPos val="l"/>
        <c:numFmt formatCode="General" sourceLinked="1"/>
        <c:majorTickMark val="none"/>
        <c:minorTickMark val="none"/>
        <c:tickLblPos val="none"/>
        <c:crossAx val="2080004943"/>
        <c:crosses val="autoZero"/>
        <c:crossBetween val="midCat"/>
        <c:majorUnit val="1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16th version updated2.xlsx]chart2_questions x scores!PivotTable4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</a:t>
            </a:r>
            <a:r>
              <a:rPr lang="en-US" baseline="0"/>
              <a:t>s Perception of Teaching Survey 2018-2024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'chart2_questions x scores'!$B$4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'chart2_questions x scores'!$A$5:$A$11</c:f>
              <c:strCache>
                <c:ptCount val="6"/>
                <c:pt idx="0">
                  <c:v>Facilitation of learning</c:v>
                </c:pt>
                <c:pt idx="1">
                  <c:v>Availability to assist students in or out of class</c:v>
                </c:pt>
                <c:pt idx="2">
                  <c:v>Description of course objectives and assignments</c:v>
                </c:pt>
                <c:pt idx="3">
                  <c:v>Expression of expectations for performance in this class</c:v>
                </c:pt>
                <c:pt idx="4">
                  <c:v>Overall assessment of instructor</c:v>
                </c:pt>
                <c:pt idx="5">
                  <c:v>Respect and concern for students</c:v>
                </c:pt>
              </c:strCache>
            </c:strRef>
          </c:cat>
          <c:val>
            <c:numRef>
              <c:f>'chart2_questions x scores'!$B$5:$B$11</c:f>
              <c:numCache>
                <c:formatCode>General</c:formatCode>
                <c:ptCount val="6"/>
                <c:pt idx="0">
                  <c:v>4.0536190476190468</c:v>
                </c:pt>
                <c:pt idx="1">
                  <c:v>4.1076666666666668</c:v>
                </c:pt>
                <c:pt idx="2">
                  <c:v>4.114809523809523</c:v>
                </c:pt>
                <c:pt idx="3">
                  <c:v>4.1281904761904764</c:v>
                </c:pt>
                <c:pt idx="4">
                  <c:v>4.1940952380952377</c:v>
                </c:pt>
                <c:pt idx="5">
                  <c:v>4.3480952380952385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D-4973-9A54-5FAF684EE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0065392"/>
        <c:axId val="1904430128"/>
      </c:barChart>
      <c:catAx>
        <c:axId val="2080065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Questions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430128"/>
        <c:crosses val="autoZero"/>
        <c:auto val="1"/>
        <c:lblAlgn val="ctr"/>
        <c:lblOffset val="100"/>
        <c:noMultiLvlLbl val="0"/>
      </c:catAx>
      <c:valAx>
        <c:axId val="190443012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0653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5215810488278203E-2"/>
          <c:w val="1"/>
          <c:h val="0.89616412355235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9680282873092252E-3"/>
                  <c:y val="5.646334877996708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51E183B-3C87-489B-A0FC-63DCC273ADE0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250047563142975"/>
                      <c:h val="0.1438963191801981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C20-43BC-AF2D-1074EE9D5E47}"/>
                </c:ext>
              </c:extLst>
            </c:dLbl>
            <c:dLbl>
              <c:idx val="1"/>
              <c:layout>
                <c:manualLayout>
                  <c:x val="0"/>
                  <c:y val="7.06154792851850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421700C-5B98-43C3-B391-DB29B30C3C92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804824062774066"/>
                      <c:h val="8.65160331912846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20-43BC-AF2D-1074EE9D5E47}"/>
                </c:ext>
              </c:extLst>
            </c:dLbl>
            <c:dLbl>
              <c:idx val="2"/>
              <c:layout>
                <c:manualLayout>
                  <c:x val="-4.788216405340065E-3"/>
                  <c:y val="4.7322457898504255E-2"/>
                </c:manualLayout>
              </c:layout>
              <c:tx>
                <c:rich>
                  <a:bodyPr/>
                  <a:lstStyle/>
                  <a:p>
                    <a:fld id="{26363362-3332-418A-A17D-4F0EBBC98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3075525630733676"/>
                      <c:h val="7.96491228070175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C20-43BC-AF2D-1074EE9D5E47}"/>
                </c:ext>
              </c:extLst>
            </c:dLbl>
            <c:dLbl>
              <c:idx val="3"/>
              <c:layout>
                <c:manualLayout>
                  <c:x val="3.7569372584140372E-2"/>
                  <c:y val="2.789335543583368E-2"/>
                </c:manualLayout>
              </c:layout>
              <c:tx>
                <c:rich>
                  <a:bodyPr/>
                  <a:lstStyle/>
                  <a:p>
                    <a:fld id="{431369E0-B10C-41D0-B2B0-E8B25C136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88228006106644"/>
                      <c:h val="7.96491228070175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20-43BC-AF2D-1074EE9D5E47}"/>
                </c:ext>
              </c:extLst>
            </c:dLbl>
            <c:dLbl>
              <c:idx val="4"/>
              <c:layout>
                <c:manualLayout>
                  <c:x val="-2.9001916446638792E-7"/>
                  <c:y val="-4.021148074194075E-4"/>
                </c:manualLayout>
              </c:layout>
              <c:tx>
                <c:rich>
                  <a:bodyPr/>
                  <a:lstStyle/>
                  <a:p>
                    <a:fld id="{5408F328-D89A-41F0-80C3-DAF7B6FA4A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672208739553507"/>
                      <c:h val="7.964912280701753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C20-43BC-AF2D-1074EE9D5E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xVal>
          <c:yVal>
            <c:numRef>
              <c:f>'Helper table'!$A$2:$A$6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'Helper table'!$B$2:$B$6</c15:f>
                <c15:dlblRangeCache>
                  <c:ptCount val="5"/>
                  <c:pt idx="0">
                    <c:v>Excelent (5)</c:v>
                  </c:pt>
                  <c:pt idx="1">
                    <c:v>Very Good (4)</c:v>
                  </c:pt>
                  <c:pt idx="2">
                    <c:v>Good (3)</c:v>
                  </c:pt>
                  <c:pt idx="3">
                    <c:v>Fair (2)</c:v>
                  </c:pt>
                  <c:pt idx="4">
                    <c:v>Poor (1)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C20-43BC-AF2D-1074EE9D5E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80004943"/>
        <c:axId val="1919910031"/>
      </c:scatterChart>
      <c:valAx>
        <c:axId val="208000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9910031"/>
        <c:crosses val="autoZero"/>
        <c:crossBetween val="midCat"/>
      </c:valAx>
      <c:valAx>
        <c:axId val="1919910031"/>
        <c:scaling>
          <c:orientation val="minMax"/>
          <c:max val="5"/>
        </c:scaling>
        <c:delete val="1"/>
        <c:axPos val="l"/>
        <c:numFmt formatCode="General" sourceLinked="1"/>
        <c:majorTickMark val="none"/>
        <c:minorTickMark val="none"/>
        <c:tickLblPos val="none"/>
        <c:crossAx val="2080004943"/>
        <c:crosses val="autoZero"/>
        <c:crossBetween val="midCat"/>
        <c:majorUnit val="1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16th version updated2.xlsx]chart3_overall assessment!PivotTable1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Overall assessment of instructor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solidFill>
            <a:srgbClr val="7030A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solidFill>
            <a:srgbClr val="00206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'chart3_overall assessment'!$B$4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121-4CBC-A036-EAD4FD8C43B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7121-4CBC-A036-EAD4FD8C43B1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121-4CBC-A036-EAD4FD8C43B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A-7121-4CBC-A036-EAD4FD8C43B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121-4CBC-A036-EAD4FD8C43B1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7121-4CBC-A036-EAD4FD8C43B1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multiLvlStrRef>
              <c:f>'chart3_overall assessment'!$A$5:$A$12</c:f>
              <c:multiLvlStrCache>
                <c:ptCount val="6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</c:lvl>
                <c:lvl>
                  <c:pt idx="0">
                    <c:v>Overall assessment of instructor</c:v>
                  </c:pt>
                </c:lvl>
              </c:multiLvlStrCache>
            </c:multiLvlStrRef>
          </c:cat>
          <c:val>
            <c:numRef>
              <c:f>'chart3_overall assessment'!$B$5:$B$12</c:f>
              <c:numCache>
                <c:formatCode>General</c:formatCode>
                <c:ptCount val="6"/>
                <c:pt idx="0">
                  <c:v>4.1360000000000001</c:v>
                </c:pt>
                <c:pt idx="1">
                  <c:v>4.2849999999999993</c:v>
                </c:pt>
                <c:pt idx="2">
                  <c:v>4.1515000000000004</c:v>
                </c:pt>
                <c:pt idx="3">
                  <c:v>4.5340000000000007</c:v>
                </c:pt>
                <c:pt idx="4">
                  <c:v>4.6000000000000005</c:v>
                </c:pt>
                <c:pt idx="5">
                  <c:v>4.1876666666666669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1-491C-A72D-1C8E5C13F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55500095"/>
        <c:axId val="517099583"/>
      </c:barChart>
      <c:catAx>
        <c:axId val="65550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chemeClr val="bg1"/>
                    </a:solidFill>
                  </a:rPr>
                  <a:t>Years</a:t>
                </a:r>
              </a:p>
            </c:rich>
          </c:tx>
          <c:layout>
            <c:manualLayout>
              <c:xMode val="edge"/>
              <c:yMode val="edge"/>
              <c:x val="0.50051233887026259"/>
              <c:y val="0.90556416668388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099583"/>
        <c:crosses val="autoZero"/>
        <c:auto val="0"/>
        <c:lblAlgn val="ctr"/>
        <c:lblOffset val="100"/>
        <c:noMultiLvlLbl val="0"/>
      </c:catAx>
      <c:valAx>
        <c:axId val="51709958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50009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5215810488278203E-2"/>
          <c:w val="1"/>
          <c:h val="0.89616412355235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5028081167273577E-2"/>
                  <c:y val="8.552710438754210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F7C23B7-E48D-4984-8D6F-034DF292C5F3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778765557531109"/>
                      <c:h val="0.11773961325700429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AD8-47F5-B44C-AF9C1545BAC5}"/>
                </c:ext>
              </c:extLst>
            </c:dLbl>
            <c:dLbl>
              <c:idx val="1"/>
              <c:layout>
                <c:manualLayout>
                  <c:x val="-7.3665791776027995E-3"/>
                  <c:y val="8.191676040494934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F0766ADD-4BAE-4AA8-B005-5EF259C51BFC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804824062774066"/>
                      <c:h val="8.65160331912846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AD8-47F5-B44C-AF9C1545BAC5}"/>
                </c:ext>
              </c:extLst>
            </c:dLbl>
            <c:dLbl>
              <c:idx val="2"/>
              <c:layout>
                <c:manualLayout>
                  <c:x val="0"/>
                  <c:y val="7.1081626607697596E-2"/>
                </c:manualLayout>
              </c:layout>
              <c:tx>
                <c:rich>
                  <a:bodyPr/>
                  <a:lstStyle/>
                  <a:p>
                    <a:fld id="{57DB4AFF-EFF7-43BA-9BD9-3D22F1005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168628115034008"/>
                      <c:h val="8.73840769903762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AD8-47F5-B44C-AF9C1545BAC5}"/>
                </c:ext>
              </c:extLst>
            </c:dLbl>
            <c:dLbl>
              <c:idx val="3"/>
              <c:layout>
                <c:manualLayout>
                  <c:x val="0"/>
                  <c:y val="4.6576422041732908E-2"/>
                </c:manualLayout>
              </c:layout>
              <c:tx>
                <c:rich>
                  <a:bodyPr/>
                  <a:lstStyle/>
                  <a:p>
                    <a:fld id="{ED108221-2AA7-48F6-AC1B-3B88337C7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573476702508962"/>
                      <c:h val="8.738407699037620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AD8-47F5-B44C-AF9C1545BAC5}"/>
                </c:ext>
              </c:extLst>
            </c:dLbl>
            <c:dLbl>
              <c:idx val="4"/>
              <c:layout>
                <c:manualLayout>
                  <c:x val="-4.1221460220698218E-3"/>
                  <c:y val="2.642858619050571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4A6A66D-6E48-4BE5-AEF5-13EE6302C856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11856179267923"/>
                      <c:h val="9.088363954505686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AD8-47F5-B44C-AF9C1545BA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xVal>
          <c:yVal>
            <c:numRef>
              <c:f>'Helper table'!$A$2:$A$6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'Helper table'!$B$2:$B$6</c15:f>
                <c15:dlblRangeCache>
                  <c:ptCount val="5"/>
                  <c:pt idx="0">
                    <c:v>Excelent (5)</c:v>
                  </c:pt>
                  <c:pt idx="1">
                    <c:v>Very Good (4)</c:v>
                  </c:pt>
                  <c:pt idx="2">
                    <c:v>Good (3)</c:v>
                  </c:pt>
                  <c:pt idx="3">
                    <c:v>Fair (2)</c:v>
                  </c:pt>
                  <c:pt idx="4">
                    <c:v>Poor (1)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AD8-47F5-B44C-AF9C1545BA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80004943"/>
        <c:axId val="1919910031"/>
      </c:scatterChart>
      <c:valAx>
        <c:axId val="208000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9910031"/>
        <c:crosses val="autoZero"/>
        <c:crossBetween val="midCat"/>
      </c:valAx>
      <c:valAx>
        <c:axId val="1919910031"/>
        <c:scaling>
          <c:orientation val="minMax"/>
          <c:max val="5"/>
        </c:scaling>
        <c:delete val="1"/>
        <c:axPos val="l"/>
        <c:numFmt formatCode="General" sourceLinked="1"/>
        <c:majorTickMark val="none"/>
        <c:minorTickMark val="none"/>
        <c:tickLblPos val="none"/>
        <c:crossAx val="2080004943"/>
        <c:crosses val="autoZero"/>
        <c:crossBetween val="midCat"/>
        <c:majorUnit val="1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16th version updated2.xlsx]chart4_score x years!PivotTable5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Students</a:t>
            </a:r>
            <a:r>
              <a:rPr lang="en-US" baseline="0"/>
              <a:t> evaluation 2018-2024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'chart4_score x years'!$B$4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'chart4_score x years'!$A$5:$A$12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'chart4_score x years'!$B$5:$B$12</c:f>
              <c:numCache>
                <c:formatCode>General</c:formatCode>
                <c:ptCount val="7"/>
                <c:pt idx="0">
                  <c:v>4.1560624999999991</c:v>
                </c:pt>
                <c:pt idx="1">
                  <c:v>4.4107499999999993</c:v>
                </c:pt>
                <c:pt idx="2">
                  <c:v>4.1338125000000012</c:v>
                </c:pt>
                <c:pt idx="3">
                  <c:v>4.4905250000000017</c:v>
                </c:pt>
                <c:pt idx="4">
                  <c:v>4.3875000000000002</c:v>
                </c:pt>
                <c:pt idx="5">
                  <c:v>3.8388749999999994</c:v>
                </c:pt>
                <c:pt idx="6">
                  <c:v>3.4880833333333325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F-45F1-8D02-820DD60C5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4553120"/>
        <c:axId val="1469160528"/>
      </c:barChart>
      <c:catAx>
        <c:axId val="190455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160528"/>
        <c:crosses val="autoZero"/>
        <c:auto val="1"/>
        <c:lblAlgn val="ctr"/>
        <c:lblOffset val="100"/>
        <c:noMultiLvlLbl val="0"/>
      </c:catAx>
      <c:valAx>
        <c:axId val="1469160528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53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5215810488278203E-2"/>
          <c:w val="1"/>
          <c:h val="0.89616412355235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2847848985860985E-3"/>
                  <c:y val="5.897919383604432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6F2D357-3E8B-4287-9185-E0483919CCD6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406588307355348"/>
                      <c:h val="0.1378728142273667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F67-4FD6-BB7D-C3639216A725}"/>
                </c:ext>
              </c:extLst>
            </c:dLbl>
            <c:dLbl>
              <c:idx val="1"/>
              <c:layout>
                <c:manualLayout>
                  <c:x val="0"/>
                  <c:y val="9.28290036873067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0E385E0-5867-473F-A93A-3534375CF994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1804824062774066"/>
                      <c:h val="8.65160331912846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F67-4FD6-BB7D-C3639216A725}"/>
                </c:ext>
              </c:extLst>
            </c:dLbl>
            <c:dLbl>
              <c:idx val="2"/>
              <c:layout>
                <c:manualLayout>
                  <c:x val="-6.003686723618705E-2"/>
                  <c:y val="0.101978495139080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5C35FC5-BC85-4678-BBF4-AE446E7EA34A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02228275244426"/>
                      <c:h val="8.26137518776503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F67-4FD6-BB7D-C3639216A725}"/>
                </c:ext>
              </c:extLst>
            </c:dLbl>
            <c:dLbl>
              <c:idx val="3"/>
              <c:layout>
                <c:manualLayout>
                  <c:x val="0"/>
                  <c:y val="9.67709623417446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FC35CFD-F06B-47A2-9AFB-D52366265F30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257850238743775"/>
                      <c:h val="5.61953475431240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F67-4FD6-BB7D-C3639216A725}"/>
                </c:ext>
              </c:extLst>
            </c:dLbl>
            <c:dLbl>
              <c:idx val="4"/>
              <c:layout>
                <c:manualLayout>
                  <c:x val="0"/>
                  <c:y val="9.937883182661061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B0794EA2-4C96-4A0C-8585-3D88A7FC5710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92100806021264"/>
                      <c:h val="8.26137518776503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F67-4FD6-BB7D-C3639216A7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xVal>
          <c:yVal>
            <c:numRef>
              <c:f>'Helper table'!$A$2:$A$6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'Helper table'!$B$2:$B$6</c15:f>
                <c15:dlblRangeCache>
                  <c:ptCount val="5"/>
                  <c:pt idx="0">
                    <c:v>Excelent (5)</c:v>
                  </c:pt>
                  <c:pt idx="1">
                    <c:v>Very Good (4)</c:v>
                  </c:pt>
                  <c:pt idx="2">
                    <c:v>Good (3)</c:v>
                  </c:pt>
                  <c:pt idx="3">
                    <c:v>Fair (2)</c:v>
                  </c:pt>
                  <c:pt idx="4">
                    <c:v>Poor (1)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9F67-4FD6-BB7D-C3639216A7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80004943"/>
        <c:axId val="1919910031"/>
      </c:scatterChart>
      <c:valAx>
        <c:axId val="208000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9910031"/>
        <c:crosses val="autoZero"/>
        <c:crossBetween val="midCat"/>
      </c:valAx>
      <c:valAx>
        <c:axId val="1919910031"/>
        <c:scaling>
          <c:orientation val="minMax"/>
          <c:max val="5"/>
        </c:scaling>
        <c:delete val="1"/>
        <c:axPos val="l"/>
        <c:numFmt formatCode="General" sourceLinked="1"/>
        <c:majorTickMark val="none"/>
        <c:minorTickMark val="none"/>
        <c:tickLblPos val="none"/>
        <c:crossAx val="2080004943"/>
        <c:crosses val="autoZero"/>
        <c:crossBetween val="midCat"/>
        <c:majorUnit val="1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[july 16th version updated2.xlsx]chart5_terms and average score!PivotTable1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Terms evaluation 2018-2024</a:t>
            </a:r>
          </a:p>
        </c:rich>
      </c:tx>
      <c:layout>
        <c:manualLayout>
          <c:xMode val="edge"/>
          <c:yMode val="edge"/>
          <c:x val="0.22926048717594508"/>
          <c:y val="2.2598863354282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'chart5_terms and average score'!$B$1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'chart5_terms and average score'!$A$2:$A$17</c:f>
              <c:strCache>
                <c:ptCount val="15"/>
                <c:pt idx="0">
                  <c:v>18 Fal</c:v>
                </c:pt>
                <c:pt idx="1">
                  <c:v>19 Fal</c:v>
                </c:pt>
                <c:pt idx="2">
                  <c:v>19 Spr</c:v>
                </c:pt>
                <c:pt idx="3">
                  <c:v>19 Sum</c:v>
                </c:pt>
                <c:pt idx="4">
                  <c:v>20 Spr</c:v>
                </c:pt>
                <c:pt idx="5">
                  <c:v>20 Sum</c:v>
                </c:pt>
                <c:pt idx="6">
                  <c:v>21 Spr</c:v>
                </c:pt>
                <c:pt idx="7">
                  <c:v>21 Sum</c:v>
                </c:pt>
                <c:pt idx="8">
                  <c:v>22 Fal</c:v>
                </c:pt>
                <c:pt idx="9">
                  <c:v>22 Spr</c:v>
                </c:pt>
                <c:pt idx="10">
                  <c:v>22 Sum</c:v>
                </c:pt>
                <c:pt idx="11">
                  <c:v>23 Fal</c:v>
                </c:pt>
                <c:pt idx="12">
                  <c:v>23 Spr</c:v>
                </c:pt>
                <c:pt idx="13">
                  <c:v>23 Sum</c:v>
                </c:pt>
                <c:pt idx="14">
                  <c:v>24 Spr</c:v>
                </c:pt>
              </c:strCache>
            </c:strRef>
          </c:cat>
          <c:val>
            <c:numRef>
              <c:f>'chart5_terms and average score'!$B$2:$B$17</c:f>
              <c:numCache>
                <c:formatCode>General</c:formatCode>
                <c:ptCount val="15"/>
                <c:pt idx="0">
                  <c:v>4.1560625000000018</c:v>
                </c:pt>
                <c:pt idx="1">
                  <c:v>4.4107499999999993</c:v>
                </c:pt>
                <c:pt idx="2">
                  <c:v>3.2722500000000001</c:v>
                </c:pt>
                <c:pt idx="3">
                  <c:v>3.1672187499999995</c:v>
                </c:pt>
                <c:pt idx="4">
                  <c:v>3.411</c:v>
                </c:pt>
                <c:pt idx="5">
                  <c:v>4.1338125000000012</c:v>
                </c:pt>
                <c:pt idx="6">
                  <c:v>4.6980625000000007</c:v>
                </c:pt>
                <c:pt idx="7">
                  <c:v>3.6603750000000006</c:v>
                </c:pt>
                <c:pt idx="8">
                  <c:v>4.3875000000000002</c:v>
                </c:pt>
                <c:pt idx="9">
                  <c:v>3.7249999999999996</c:v>
                </c:pt>
                <c:pt idx="10">
                  <c:v>2.5682499999999999</c:v>
                </c:pt>
                <c:pt idx="11">
                  <c:v>3.8218125000000005</c:v>
                </c:pt>
                <c:pt idx="12">
                  <c:v>3.8729999999999998</c:v>
                </c:pt>
                <c:pt idx="13">
                  <c:v>2.7059374999999997</c:v>
                </c:pt>
                <c:pt idx="14">
                  <c:v>3.4880833333333325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30-48EB-A4BD-F0C174601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88357024"/>
        <c:axId val="739958816"/>
      </c:barChart>
      <c:catAx>
        <c:axId val="128835702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958816"/>
        <c:crosses val="autoZero"/>
        <c:auto val="1"/>
        <c:lblAlgn val="ctr"/>
        <c:lblOffset val="100"/>
        <c:noMultiLvlLbl val="0"/>
      </c:catAx>
      <c:valAx>
        <c:axId val="739958816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5702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5215810488278203E-2"/>
          <c:w val="1"/>
          <c:h val="0.8961641235523524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285074917750565E-3"/>
                  <c:y val="8.038675516015100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080CF0C-52A2-4A30-9959-BC4752D506DD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299777729312344"/>
                      <c:h val="0.1279473072489307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F35-475D-B678-9A09FA7BE5DA}"/>
                </c:ext>
              </c:extLst>
            </c:dLbl>
            <c:dLbl>
              <c:idx val="1"/>
              <c:layout>
                <c:manualLayout>
                  <c:x val="-3.6829533695587279E-3"/>
                  <c:y val="9.932369450707904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9587D9-31EC-4A96-A81B-35E322F908D6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3388607119158429"/>
                      <c:h val="8.65160331912846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F35-475D-B678-9A09FA7BE5DA}"/>
                </c:ext>
              </c:extLst>
            </c:dLbl>
            <c:dLbl>
              <c:idx val="2"/>
              <c:layout>
                <c:manualLayout>
                  <c:x val="-3.4254163515125079E-2"/>
                  <c:y val="9.1979504420275054E-2"/>
                </c:manualLayout>
              </c:layout>
              <c:tx>
                <c:rich>
                  <a:bodyPr/>
                  <a:lstStyle/>
                  <a:p>
                    <a:fld id="{3F18102F-B844-456F-B35D-3266A45C7F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338876952989054"/>
                      <c:h val="9.40489921108566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F35-475D-B678-9A09FA7BE5DA}"/>
                </c:ext>
              </c:extLst>
            </c:dLbl>
            <c:dLbl>
              <c:idx val="3"/>
              <c:layout>
                <c:manualLayout>
                  <c:x val="-2.9465947109785688E-3"/>
                  <c:y val="9.9798953037339461E-2"/>
                </c:manualLayout>
              </c:layout>
              <c:tx>
                <c:rich>
                  <a:bodyPr/>
                  <a:lstStyle/>
                  <a:p>
                    <a:fld id="{9F7F328E-D0F9-452A-8E73-CA7B963902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994498916488403"/>
                      <c:h val="9.404899211085668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F35-475D-B678-9A09FA7BE5DA}"/>
                </c:ext>
              </c:extLst>
            </c:dLbl>
            <c:dLbl>
              <c:idx val="4"/>
              <c:layout>
                <c:manualLayout>
                  <c:x val="-3.9042379920465145E-3"/>
                  <c:y val="8.672274470179404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algn="r">
                      <a:defRPr sz="900" b="0" i="0" u="none" strike="noStrike" kern="1200" baseline="0">
                        <a:solidFill>
                          <a:schemeClr val="l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B0F6BFA-0250-4F5F-9C11-1D36E63CA017}" type="CELLRANGE">
                      <a:rPr lang="en-US"/>
                      <a:pPr algn="r"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302046839255137"/>
                      <c:h val="7.52165948119266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F35-475D-B678-9A09FA7BE5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r"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Lit>
              <c:formatCode>General</c:formatCode>
              <c:ptCount val="6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</c:numLit>
          </c:xVal>
          <c:yVal>
            <c:numRef>
              <c:f>'Helper table'!$A$2:$A$6</c:f>
              <c:numCache>
                <c:formatCode>General</c:formatCode>
                <c:ptCount val="5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'Helper table'!$B$2:$B$6</c15:f>
                <c15:dlblRangeCache>
                  <c:ptCount val="5"/>
                  <c:pt idx="0">
                    <c:v>Excelent (5)</c:v>
                  </c:pt>
                  <c:pt idx="1">
                    <c:v>Very Good (4)</c:v>
                  </c:pt>
                  <c:pt idx="2">
                    <c:v>Good (3)</c:v>
                  </c:pt>
                  <c:pt idx="3">
                    <c:v>Fair (2)</c:v>
                  </c:pt>
                  <c:pt idx="4">
                    <c:v>Poor (1)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2F35-475D-B678-9A09FA7BE5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80004943"/>
        <c:axId val="1919910031"/>
      </c:scatterChart>
      <c:valAx>
        <c:axId val="208000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19910031"/>
        <c:crosses val="autoZero"/>
        <c:crossBetween val="midCat"/>
      </c:valAx>
      <c:valAx>
        <c:axId val="1919910031"/>
        <c:scaling>
          <c:orientation val="minMax"/>
          <c:max val="5"/>
        </c:scaling>
        <c:delete val="1"/>
        <c:axPos val="l"/>
        <c:numFmt formatCode="General" sourceLinked="1"/>
        <c:majorTickMark val="none"/>
        <c:minorTickMark val="none"/>
        <c:tickLblPos val="none"/>
        <c:crossAx val="2080004943"/>
        <c:crosses val="autoZero"/>
        <c:crossBetween val="midCat"/>
        <c:majorUnit val="1"/>
      </c:valAx>
      <c:spPr>
        <a:solidFill>
          <a:schemeClr val="bg2">
            <a:lumMod val="25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0</xdr:row>
      <xdr:rowOff>38099</xdr:rowOff>
    </xdr:from>
    <xdr:to>
      <xdr:col>11</xdr:col>
      <xdr:colOff>428625</xdr:colOff>
      <xdr:row>26</xdr:row>
      <xdr:rowOff>28575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CD23939-8652-4688-8FC4-E63BC19AAF55}"/>
            </a:ext>
          </a:extLst>
        </xdr:cNvPr>
        <xdr:cNvGrpSpPr/>
      </xdr:nvGrpSpPr>
      <xdr:grpSpPr>
        <a:xfrm>
          <a:off x="3048000" y="38099"/>
          <a:ext cx="9267825" cy="4200526"/>
          <a:chOff x="3048000" y="38099"/>
          <a:chExt cx="9267825" cy="4200526"/>
        </a:xfrm>
      </xdr:grpSpPr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E6EAEB7B-3E25-4DA8-AAD6-C3AEB9586FDD}"/>
              </a:ext>
            </a:extLst>
          </xdr:cNvPr>
          <xdr:cNvGraphicFramePr/>
        </xdr:nvGraphicFramePr>
        <xdr:xfrm>
          <a:off x="3990976" y="38099"/>
          <a:ext cx="8324849" cy="42005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7E8F4BB-2E39-4B03-A34A-20E184B56AFB}"/>
              </a:ext>
            </a:extLst>
          </xdr:cNvPr>
          <xdr:cNvGraphicFramePr>
            <a:graphicFrameLocks/>
          </xdr:cNvGraphicFramePr>
        </xdr:nvGraphicFramePr>
        <xdr:xfrm>
          <a:off x="3048000" y="38099"/>
          <a:ext cx="1724024" cy="42005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12</xdr:row>
      <xdr:rowOff>19048</xdr:rowOff>
    </xdr:from>
    <xdr:to>
      <xdr:col>10</xdr:col>
      <xdr:colOff>533399</xdr:colOff>
      <xdr:row>36</xdr:row>
      <xdr:rowOff>114300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633FF12-F9CD-4F9E-A2D0-33E00CFCC6FE}"/>
            </a:ext>
          </a:extLst>
        </xdr:cNvPr>
        <xdr:cNvGrpSpPr/>
      </xdr:nvGrpSpPr>
      <xdr:grpSpPr>
        <a:xfrm>
          <a:off x="971550" y="1962148"/>
          <a:ext cx="8915399" cy="3981452"/>
          <a:chOff x="3781425" y="438148"/>
          <a:chExt cx="8915399" cy="3981452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AA2FE08-7669-4869-8FB2-1798EDF11614}"/>
              </a:ext>
            </a:extLst>
          </xdr:cNvPr>
          <xdr:cNvGraphicFramePr/>
        </xdr:nvGraphicFramePr>
        <xdr:xfrm>
          <a:off x="5019675" y="438148"/>
          <a:ext cx="7677149" cy="397192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752B7C8E-256E-4C9B-AAA1-5A52F98B7B6D}"/>
              </a:ext>
            </a:extLst>
          </xdr:cNvPr>
          <xdr:cNvGraphicFramePr>
            <a:graphicFrameLocks/>
          </xdr:cNvGraphicFramePr>
        </xdr:nvGraphicFramePr>
        <xdr:xfrm>
          <a:off x="3781425" y="438150"/>
          <a:ext cx="1724024" cy="39814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1</xdr:row>
      <xdr:rowOff>38100</xdr:rowOff>
    </xdr:from>
    <xdr:to>
      <xdr:col>17</xdr:col>
      <xdr:colOff>9524</xdr:colOff>
      <xdr:row>23</xdr:row>
      <xdr:rowOff>104775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3D9CD4-1BA9-4A96-AF0B-5976D06DFE9D}"/>
            </a:ext>
          </a:extLst>
        </xdr:cNvPr>
        <xdr:cNvGrpSpPr/>
      </xdr:nvGrpSpPr>
      <xdr:grpSpPr>
        <a:xfrm>
          <a:off x="3162300" y="200025"/>
          <a:ext cx="8124824" cy="3629025"/>
          <a:chOff x="771525" y="981075"/>
          <a:chExt cx="8124824" cy="362902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CA6D81D0-F831-4E91-B4EF-3A9675E033CD}"/>
              </a:ext>
            </a:extLst>
          </xdr:cNvPr>
          <xdr:cNvGraphicFramePr/>
        </xdr:nvGraphicFramePr>
        <xdr:xfrm>
          <a:off x="2028824" y="981075"/>
          <a:ext cx="6867525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FCE52CC-DFA7-4E0C-96A9-3A26A8B531EB}"/>
              </a:ext>
            </a:extLst>
          </xdr:cNvPr>
          <xdr:cNvGraphicFramePr>
            <a:graphicFrameLocks/>
          </xdr:cNvGraphicFramePr>
        </xdr:nvGraphicFramePr>
        <xdr:xfrm>
          <a:off x="771525" y="981075"/>
          <a:ext cx="1771650" cy="36290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0.40777</cdr:x>
      <cdr:y>0.86404</cdr:y>
    </cdr:from>
    <cdr:to>
      <cdr:x>0.65465</cdr:x>
      <cdr:y>0.90814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BD620A2-0660-4338-8B31-DD81036C6059}"/>
            </a:ext>
          </a:extLst>
        </cdr:cNvPr>
        <cdr:cNvSpPr txBox="1"/>
      </cdr:nvSpPr>
      <cdr:spPr>
        <a:xfrm xmlns:a="http://schemas.openxmlformats.org/drawingml/2006/main">
          <a:off x="2800351" y="3135631"/>
          <a:ext cx="1695450" cy="160019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25000"/>
          </a:scheme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</xdr:row>
      <xdr:rowOff>28576</xdr:rowOff>
    </xdr:from>
    <xdr:to>
      <xdr:col>18</xdr:col>
      <xdr:colOff>200025</xdr:colOff>
      <xdr:row>24</xdr:row>
      <xdr:rowOff>152401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3EF40D8-FD99-4DDB-9260-860F9EE217CA}"/>
            </a:ext>
          </a:extLst>
        </xdr:cNvPr>
        <xdr:cNvGrpSpPr/>
      </xdr:nvGrpSpPr>
      <xdr:grpSpPr>
        <a:xfrm>
          <a:off x="2505075" y="190501"/>
          <a:ext cx="9420225" cy="3848100"/>
          <a:chOff x="1533525" y="238126"/>
          <a:chExt cx="9420225" cy="38481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3C4F1E62-ED0C-4F6F-9311-E8271800336F}"/>
              </a:ext>
            </a:extLst>
          </xdr:cNvPr>
          <xdr:cNvGraphicFramePr/>
        </xdr:nvGraphicFramePr>
        <xdr:xfrm>
          <a:off x="2657476" y="238126"/>
          <a:ext cx="8296274" cy="3848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F9054991-65B1-4250-90A9-4DD4977451B4}"/>
              </a:ext>
            </a:extLst>
          </xdr:cNvPr>
          <xdr:cNvGraphicFramePr>
            <a:graphicFrameLocks/>
          </xdr:cNvGraphicFramePr>
        </xdr:nvGraphicFramePr>
        <xdr:xfrm>
          <a:off x="1533525" y="238126"/>
          <a:ext cx="1724024" cy="383857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</xdr:row>
      <xdr:rowOff>76199</xdr:rowOff>
    </xdr:from>
    <xdr:to>
      <xdr:col>19</xdr:col>
      <xdr:colOff>266700</xdr:colOff>
      <xdr:row>22</xdr:row>
      <xdr:rowOff>47625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2BFF67D-F0E5-4FBE-9E05-87F3595D20D0}"/>
            </a:ext>
          </a:extLst>
        </xdr:cNvPr>
        <xdr:cNvGrpSpPr/>
      </xdr:nvGrpSpPr>
      <xdr:grpSpPr>
        <a:xfrm>
          <a:off x="3305175" y="238124"/>
          <a:ext cx="7800975" cy="3371851"/>
          <a:chOff x="2190750" y="171449"/>
          <a:chExt cx="7800975" cy="3371851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51BB7F3D-B529-4C43-80AD-3444554A280A}"/>
              </a:ext>
            </a:extLst>
          </xdr:cNvPr>
          <xdr:cNvGraphicFramePr/>
        </xdr:nvGraphicFramePr>
        <xdr:xfrm>
          <a:off x="3476625" y="171449"/>
          <a:ext cx="6515100" cy="337185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8C66D72-7FC9-4933-8802-02FDF615F49E}"/>
              </a:ext>
            </a:extLst>
          </xdr:cNvPr>
          <xdr:cNvGraphicFramePr>
            <a:graphicFrameLocks/>
          </xdr:cNvGraphicFramePr>
        </xdr:nvGraphicFramePr>
        <xdr:xfrm>
          <a:off x="2190750" y="171450"/>
          <a:ext cx="1724024" cy="33718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athan Faria" refreshedDate="45490.618651273151" createdVersion="6" refreshedVersion="6" minRefreshableVersion="3" recordCount="320" xr:uid="{B30E2D9B-09E7-4839-9DDA-58B6C2C9CF45}">
  <cacheSource type="worksheet">
    <worksheetSource ref="A1:R321" sheet="cleaned data"/>
  </cacheSource>
  <cacheFields count="19">
    <cacheField name="Year" numFmtId="0">
      <sharedItems count="7">
        <s v="2024"/>
        <s v="2023"/>
        <s v="2022"/>
        <s v="2021"/>
        <s v="2020"/>
        <s v="2019"/>
        <s v="2018"/>
      </sharedItems>
    </cacheField>
    <cacheField name="Termm" numFmtId="0">
      <sharedItems count="15">
        <s v="24 Spr"/>
        <s v="23 Fal"/>
        <s v="23 Sum"/>
        <s v="23 Spr"/>
        <s v="22 Fal"/>
        <s v="22 Sum"/>
        <s v="22 Spr"/>
        <s v="21 Sum"/>
        <s v="21 Spr"/>
        <s v="20 Sum"/>
        <s v="20 Spr"/>
        <s v="19 Fal"/>
        <s v="19 Sum"/>
        <s v="19 Spr"/>
        <s v="18 Fal"/>
      </sharedItems>
    </cacheField>
    <cacheField name="Term" numFmtId="0">
      <sharedItems/>
    </cacheField>
    <cacheField name="Course Name" numFmtId="0">
      <sharedItems count="11">
        <s v="HSA 6197_x000a_Hlth Info Systems"/>
        <s v="HSA 6717_x000a_Adv Hlth Mgt Res Sem"/>
        <s v="HSA 6930_x000a_Pro Seminar Hlth Mgt"/>
        <s v="HSA 6175_x000a_Fin Mgt Hlth Sys"/>
        <s v="HSA 5655_x000a_Eth Dec Hlth Admin"/>
        <s v="HSA 6187_x000a_Mgt HR Hlth Prof"/>
        <s v="HSA 3412C_x000a_Cultural Competency in HSC"/>
        <s v="HSA 4170_x000a_Hlthcr Fincl Mgt"/>
        <s v="HSA 4431_x000a_Values/Ethics &amp; Conf"/>
        <s v="HSA 4700 Qlty Evdn Bsd Hlthcr Srvcs"/>
        <s v="HSA 6717_x000a_Adv Hlth Mgt Res" u="1"/>
      </sharedItems>
    </cacheField>
    <cacheField name="Name_course" numFmtId="0">
      <sharedItems/>
    </cacheField>
    <cacheField name="Response Rate" numFmtId="12">
      <sharedItems/>
    </cacheField>
    <cacheField name="Total students" numFmtId="0">
      <sharedItems containsSemiMixedTypes="0" containsString="0" containsNumber="1" containsInteger="1" minValue="7" maxValue="92"/>
    </cacheField>
    <cacheField name="Response" numFmtId="12">
      <sharedItems containsSemiMixedTypes="0" containsString="0" containsNumber="1" containsInteger="1" minValue="2" maxValue="71"/>
    </cacheField>
    <cacheField name="Campus " numFmtId="0">
      <sharedItems/>
    </cacheField>
    <cacheField name="Question" numFmtId="0">
      <sharedItems count="8">
        <s v="Description of course objectives and assignments"/>
        <s v="Expression of expectations for performance in this class"/>
        <s v="Communication of ideas and information"/>
        <s v="Stimulation of interest in course"/>
        <s v="Facilitation of learning"/>
        <s v="Availability to assist students in or out of class"/>
        <s v="Respect and concern for students"/>
        <s v="Overall assessment of instructor"/>
      </sharedItems>
    </cacheField>
    <cacheField name="Excellent" numFmtId="164">
      <sharedItems containsSemiMixedTypes="0" containsString="0" containsNumber="1" minValue="0" maxValue="1"/>
    </cacheField>
    <cacheField name="Very Good" numFmtId="164">
      <sharedItems containsSemiMixedTypes="0" containsString="0" containsNumber="1" minValue="0" maxValue="0.6"/>
    </cacheField>
    <cacheField name="Good" numFmtId="164">
      <sharedItems containsSemiMixedTypes="0" containsString="0" containsNumber="1" minValue="0" maxValue="0.66700000000000004"/>
    </cacheField>
    <cacheField name="Fair" numFmtId="164">
      <sharedItems containsSemiMixedTypes="0" containsString="0" containsNumber="1" minValue="0" maxValue="0.66700000000000004"/>
    </cacheField>
    <cacheField name="Poor" numFmtId="164">
      <sharedItems containsSemiMixedTypes="0" containsString="0" containsNumber="1" minValue="0" maxValue="0.66700000000000004"/>
    </cacheField>
    <cacheField name="Score" numFmtId="0">
      <sharedItems containsSemiMixedTypes="0" containsString="0" containsNumber="1" minValue="1.427" maxValue="5"/>
    </cacheField>
    <cacheField name="Score2" numFmtId="0">
      <sharedItems count="4">
        <s v="Very Good"/>
        <s v="Excelent"/>
        <s v="Good"/>
        <s v="Fair"/>
      </sharedItems>
    </cacheField>
    <cacheField name="Goal" numFmtId="164">
      <sharedItems containsSemiMixedTypes="0" containsString="0" containsNumber="1" minValue="0" maxValue="1"/>
    </cacheField>
    <cacheField name="st_dev" numFmtId="0" formula="_xlfn.STDEV.S(Score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s v="Spring 2024"/>
    <x v="0"/>
    <s v="HSA 6197_x000a_Hlth Info Systems 2024"/>
    <s v="7/28"/>
    <n v="28"/>
    <n v="7"/>
    <s v="Online"/>
    <x v="0"/>
    <n v="0.57099999999999995"/>
    <n v="0"/>
    <n v="0"/>
    <n v="0.42899999999999999"/>
    <n v="0"/>
    <n v="3.7129999999999996"/>
    <x v="0"/>
    <n v="0.57099999999999995"/>
  </r>
  <r>
    <x v="0"/>
    <x v="0"/>
    <s v="Spring 2024"/>
    <x v="0"/>
    <s v="HSA 6197_x000a_Hlth Info Systems 2024"/>
    <s v="7/28"/>
    <n v="28"/>
    <n v="7"/>
    <s v="Online"/>
    <x v="1"/>
    <n v="0.57099999999999995"/>
    <n v="0"/>
    <n v="0"/>
    <n v="0.42899999999999999"/>
    <n v="0"/>
    <n v="3.7129999999999996"/>
    <x v="0"/>
    <n v="0.57099999999999995"/>
  </r>
  <r>
    <x v="0"/>
    <x v="0"/>
    <s v="Spring 2024"/>
    <x v="0"/>
    <s v="HSA 6197_x000a_Hlth Info Systems 2024"/>
    <s v="7/28"/>
    <n v="28"/>
    <n v="7"/>
    <s v="Online"/>
    <x v="2"/>
    <n v="0.42899999999999999"/>
    <n v="0.14299999999999999"/>
    <n v="0"/>
    <n v="0.42899999999999999"/>
    <n v="0"/>
    <n v="3.5750000000000002"/>
    <x v="0"/>
    <n v="0.57199999999999995"/>
  </r>
  <r>
    <x v="0"/>
    <x v="0"/>
    <s v="Spring 2024"/>
    <x v="0"/>
    <s v="HSA 6197_x000a_Hlth Info Systems 2024"/>
    <s v="7/28"/>
    <n v="28"/>
    <n v="7"/>
    <s v="Online"/>
    <x v="3"/>
    <n v="0.57099999999999995"/>
    <n v="0"/>
    <n v="0.14299999999999999"/>
    <n v="0.28599999999999998"/>
    <n v="0"/>
    <n v="3.8559999999999994"/>
    <x v="0"/>
    <n v="0.57099999999999995"/>
  </r>
  <r>
    <x v="0"/>
    <x v="0"/>
    <s v="Spring 2024"/>
    <x v="0"/>
    <s v="HSA 6197_x000a_Hlth Info Systems 2024"/>
    <s v="7/28"/>
    <n v="28"/>
    <n v="7"/>
    <s v="Online"/>
    <x v="4"/>
    <n v="0.42899999999999999"/>
    <n v="0.14299999999999999"/>
    <n v="0"/>
    <n v="0.42899999999999999"/>
    <n v="0"/>
    <n v="3.5750000000000002"/>
    <x v="0"/>
    <n v="0.57199999999999995"/>
  </r>
  <r>
    <x v="0"/>
    <x v="0"/>
    <s v="Spring 2024"/>
    <x v="0"/>
    <s v="HSA 6197_x000a_Hlth Info Systems 2024"/>
    <s v="7/28"/>
    <n v="28"/>
    <n v="7"/>
    <s v="Online"/>
    <x v="5"/>
    <n v="0.42899999999999999"/>
    <n v="0.14299999999999999"/>
    <n v="0.28599999999999998"/>
    <n v="0.14299999999999999"/>
    <n v="0"/>
    <n v="3.8610000000000002"/>
    <x v="0"/>
    <n v="0.57199999999999995"/>
  </r>
  <r>
    <x v="0"/>
    <x v="0"/>
    <s v="Spring 2024"/>
    <x v="0"/>
    <s v="HSA 6197_x000a_Hlth Info Systems 2024"/>
    <s v="7/28"/>
    <n v="28"/>
    <n v="7"/>
    <s v="Online"/>
    <x v="6"/>
    <n v="0.42899999999999999"/>
    <n v="0.14299999999999999"/>
    <n v="0.42899999999999999"/>
    <n v="0"/>
    <n v="0"/>
    <n v="4.0039999999999996"/>
    <x v="1"/>
    <n v="0.57199999999999995"/>
  </r>
  <r>
    <x v="0"/>
    <x v="0"/>
    <s v="Spring 2024"/>
    <x v="0"/>
    <s v="HSA 6717_x000a_Adv Hlth Mgt Res Sem 2024"/>
    <s v="7/28"/>
    <n v="28"/>
    <n v="7"/>
    <s v="Online"/>
    <x v="7"/>
    <n v="0.42899999999999999"/>
    <n v="0.14299999999999999"/>
    <n v="0"/>
    <n v="0.42899999999999999"/>
    <n v="0"/>
    <n v="3.5750000000000002"/>
    <x v="0"/>
    <n v="0.57199999999999995"/>
  </r>
  <r>
    <x v="0"/>
    <x v="0"/>
    <s v="Spring 2024"/>
    <x v="1"/>
    <s v="HSA 6717_x000a_Adv Hlth Mgt Res Sem 2024"/>
    <s v="5/41"/>
    <n v="41"/>
    <n v="5"/>
    <s v="Online"/>
    <x v="0"/>
    <n v="0.4"/>
    <n v="0"/>
    <n v="0.2"/>
    <n v="0"/>
    <n v="0.2"/>
    <n v="2.8000000000000003"/>
    <x v="2"/>
    <n v="0.4"/>
  </r>
  <r>
    <x v="0"/>
    <x v="0"/>
    <s v="Spring 2024"/>
    <x v="1"/>
    <s v="HSA 6717_x000a_Adv Hlth Mgt Res Sem 2024"/>
    <s v="5/41"/>
    <n v="41"/>
    <n v="5"/>
    <s v="Online"/>
    <x v="1"/>
    <n v="0.4"/>
    <n v="0"/>
    <n v="0.2"/>
    <n v="0.2"/>
    <n v="0"/>
    <n v="3"/>
    <x v="2"/>
    <n v="0.4"/>
  </r>
  <r>
    <x v="0"/>
    <x v="0"/>
    <s v="Spring 2024"/>
    <x v="1"/>
    <s v="HSA 6717_x000a_Adv Hlth Mgt Res Sem 2024"/>
    <s v="5/41"/>
    <n v="41"/>
    <n v="5"/>
    <s v="Online"/>
    <x v="2"/>
    <n v="0.4"/>
    <n v="0"/>
    <n v="0"/>
    <n v="0.2"/>
    <n v="0.2"/>
    <n v="2.6"/>
    <x v="2"/>
    <n v="0.4"/>
  </r>
  <r>
    <x v="0"/>
    <x v="0"/>
    <s v="Spring 2024"/>
    <x v="1"/>
    <s v="HSA 6717_x000a_Adv Hlth Mgt Res Sem 2024"/>
    <s v="5/41"/>
    <n v="41"/>
    <n v="5"/>
    <s v="Online"/>
    <x v="3"/>
    <n v="0.6"/>
    <n v="0"/>
    <n v="0"/>
    <n v="0"/>
    <n v="0.2"/>
    <n v="3.2"/>
    <x v="0"/>
    <n v="0.6"/>
  </r>
  <r>
    <x v="0"/>
    <x v="0"/>
    <s v="Spring 2024"/>
    <x v="1"/>
    <s v="HSA 6717_x000a_Adv Hlth Mgt Res Sem 2024"/>
    <s v="5/41"/>
    <n v="41"/>
    <n v="5"/>
    <s v="Online"/>
    <x v="4"/>
    <n v="0.6"/>
    <n v="0"/>
    <n v="0"/>
    <n v="0.2"/>
    <n v="0"/>
    <n v="3.4"/>
    <x v="0"/>
    <n v="0.6"/>
  </r>
  <r>
    <x v="0"/>
    <x v="0"/>
    <s v="Spring 2024"/>
    <x v="1"/>
    <s v="HSA 6717_x000a_Adv Hlth Mgt Res Sem 2024"/>
    <s v="5/41"/>
    <n v="41"/>
    <n v="5"/>
    <s v="Online"/>
    <x v="5"/>
    <n v="0.6"/>
    <n v="0.2"/>
    <n v="0"/>
    <n v="0"/>
    <n v="0"/>
    <n v="3.8"/>
    <x v="0"/>
    <n v="0.8"/>
  </r>
  <r>
    <x v="0"/>
    <x v="0"/>
    <s v="Spring 2024"/>
    <x v="1"/>
    <s v="HSA 6717_x000a_Adv Hlth Mgt Res Sem 2024"/>
    <s v="5/41"/>
    <n v="41"/>
    <n v="5"/>
    <s v="Online"/>
    <x v="6"/>
    <n v="0.6"/>
    <n v="0.2"/>
    <n v="0"/>
    <n v="0"/>
    <n v="0"/>
    <n v="3.8"/>
    <x v="0"/>
    <n v="0.8"/>
  </r>
  <r>
    <x v="0"/>
    <x v="0"/>
    <s v="Spring 2024"/>
    <x v="1"/>
    <s v="HSA 6930_x000a_Pro Seminar Hlth Mgt 2024"/>
    <s v="5/41"/>
    <n v="41"/>
    <n v="5"/>
    <s v="Online"/>
    <x v="7"/>
    <n v="0.4"/>
    <n v="0"/>
    <n v="0.2"/>
    <n v="0.4"/>
    <n v="0"/>
    <n v="3.4000000000000004"/>
    <x v="0"/>
    <n v="0.4"/>
  </r>
  <r>
    <x v="0"/>
    <x v="0"/>
    <s v="Spring 2024"/>
    <x v="2"/>
    <s v="HSA 6930_x000a_Pro Seminar Hlth Mgt 2024"/>
    <s v="6/41"/>
    <n v="41"/>
    <n v="6"/>
    <s v="Online"/>
    <x v="0"/>
    <n v="0.5"/>
    <n v="0"/>
    <n v="0.16700000000000001"/>
    <n v="0.16700000000000001"/>
    <n v="0"/>
    <n v="3.335"/>
    <x v="0"/>
    <n v="0.5"/>
  </r>
  <r>
    <x v="0"/>
    <x v="0"/>
    <s v="Spring 2024"/>
    <x v="2"/>
    <s v="HSA 6930_x000a_Pro Seminar Hlth Mgt 2024"/>
    <s v="6/41"/>
    <n v="41"/>
    <n v="6"/>
    <s v="Online"/>
    <x v="1"/>
    <n v="0.5"/>
    <n v="0.16700000000000001"/>
    <n v="0"/>
    <n v="0.16700000000000001"/>
    <n v="0"/>
    <n v="3.5020000000000002"/>
    <x v="0"/>
    <n v="0.66700000000000004"/>
  </r>
  <r>
    <x v="0"/>
    <x v="0"/>
    <s v="Spring 2024"/>
    <x v="2"/>
    <s v="HSA 6930_x000a_Pro Seminar Hlth Mgt 2024"/>
    <s v="6/41"/>
    <n v="41"/>
    <n v="6"/>
    <s v="Online"/>
    <x v="2"/>
    <n v="0.5"/>
    <n v="0"/>
    <n v="0"/>
    <n v="0.33300000000000002"/>
    <n v="0"/>
    <n v="3.1659999999999999"/>
    <x v="0"/>
    <n v="0.5"/>
  </r>
  <r>
    <x v="0"/>
    <x v="0"/>
    <s v="Spring 2024"/>
    <x v="2"/>
    <s v="HSA 6930_x000a_Pro Seminar Hlth Mgt 2024"/>
    <s v="6/41"/>
    <n v="41"/>
    <n v="6"/>
    <s v="Online"/>
    <x v="3"/>
    <n v="0.5"/>
    <n v="0"/>
    <n v="0"/>
    <n v="0.33300000000000002"/>
    <n v="0"/>
    <n v="3.1659999999999999"/>
    <x v="0"/>
    <n v="0.5"/>
  </r>
  <r>
    <x v="0"/>
    <x v="0"/>
    <s v="Spring 2024"/>
    <x v="2"/>
    <s v="HSA 6930_x000a_Pro Seminar Hlth Mgt 2024"/>
    <s v="6/41"/>
    <n v="41"/>
    <n v="6"/>
    <s v="Online"/>
    <x v="4"/>
    <n v="0.5"/>
    <n v="0.16700000000000001"/>
    <n v="0"/>
    <n v="0.16700000000000001"/>
    <n v="0"/>
    <n v="3.5020000000000002"/>
    <x v="0"/>
    <n v="0.66700000000000004"/>
  </r>
  <r>
    <x v="0"/>
    <x v="0"/>
    <s v="Spring 2024"/>
    <x v="2"/>
    <s v="HSA 6930_x000a_Pro Seminar Hlth Mgt 2024"/>
    <s v="6/41"/>
    <n v="41"/>
    <n v="6"/>
    <s v="Online"/>
    <x v="5"/>
    <n v="0.66700000000000004"/>
    <n v="0"/>
    <n v="0"/>
    <n v="0.16700000000000001"/>
    <n v="0"/>
    <n v="3.669"/>
    <x v="0"/>
    <n v="0.66700000000000004"/>
  </r>
  <r>
    <x v="0"/>
    <x v="0"/>
    <s v="Spring 2024"/>
    <x v="2"/>
    <s v="HSA 6930_x000a_Pro Seminar Hlth Mgt 2024"/>
    <s v="6/41"/>
    <n v="41"/>
    <n v="6"/>
    <s v="Online"/>
    <x v="6"/>
    <n v="0.66700000000000004"/>
    <n v="0"/>
    <n v="0"/>
    <n v="0.16700000000000001"/>
    <n v="0"/>
    <n v="3.669"/>
    <x v="0"/>
    <n v="0.66700000000000004"/>
  </r>
  <r>
    <x v="0"/>
    <x v="0"/>
    <s v="Spring 2024"/>
    <x v="2"/>
    <s v="HSA 6197_x000a_Hlth Info Systems 2024"/>
    <s v="6/41"/>
    <n v="41"/>
    <n v="6"/>
    <s v="Online"/>
    <x v="7"/>
    <n v="0.5"/>
    <n v="0"/>
    <n v="0.33300000000000002"/>
    <n v="0.16700000000000001"/>
    <n v="0"/>
    <n v="3.8330000000000002"/>
    <x v="0"/>
    <n v="0.5"/>
  </r>
  <r>
    <x v="1"/>
    <x v="1"/>
    <s v="Fall 2023"/>
    <x v="0"/>
    <s v="HSA 6197_x000a_Hlth Info Systems 2023"/>
    <s v="10/41"/>
    <n v="41"/>
    <n v="10"/>
    <s v="Online"/>
    <x v="0"/>
    <n v="0.4"/>
    <n v="0.2"/>
    <n v="0.2"/>
    <n v="0.1"/>
    <n v="0"/>
    <n v="3.6"/>
    <x v="0"/>
    <n v="0.60000000000000009"/>
  </r>
  <r>
    <x v="1"/>
    <x v="1"/>
    <s v="Fall 2023"/>
    <x v="0"/>
    <s v="HSA 6197_x000a_Hlth Info Systems 2023"/>
    <s v="10/41"/>
    <n v="41"/>
    <n v="10"/>
    <s v="Online"/>
    <x v="1"/>
    <n v="0.5"/>
    <n v="0.1"/>
    <n v="0.3"/>
    <n v="0"/>
    <n v="0"/>
    <n v="3.8"/>
    <x v="0"/>
    <n v="0.6"/>
  </r>
  <r>
    <x v="1"/>
    <x v="1"/>
    <s v="Fall 2023"/>
    <x v="0"/>
    <s v="HSA 6197_x000a_Hlth Info Systems 2023"/>
    <s v="10/41"/>
    <n v="41"/>
    <n v="10"/>
    <s v="Online"/>
    <x v="2"/>
    <n v="0.5"/>
    <n v="0"/>
    <n v="0.3"/>
    <n v="0.1"/>
    <n v="0"/>
    <n v="3.6"/>
    <x v="0"/>
    <n v="0.5"/>
  </r>
  <r>
    <x v="1"/>
    <x v="1"/>
    <s v="Fall 2023"/>
    <x v="0"/>
    <s v="HSA 6197_x000a_Hlth Info Systems 2023"/>
    <s v="10/41"/>
    <n v="41"/>
    <n v="10"/>
    <s v="Online"/>
    <x v="3"/>
    <n v="0.6"/>
    <n v="0"/>
    <n v="0.3"/>
    <n v="0"/>
    <n v="0"/>
    <n v="3.9"/>
    <x v="0"/>
    <n v="0.6"/>
  </r>
  <r>
    <x v="1"/>
    <x v="1"/>
    <s v="Fall 2023"/>
    <x v="0"/>
    <s v="HSA 6197_x000a_Hlth Info Systems 2023"/>
    <s v="10/41"/>
    <n v="41"/>
    <n v="10"/>
    <s v="Online"/>
    <x v="4"/>
    <n v="0.5"/>
    <n v="0.1"/>
    <n v="0.3"/>
    <n v="0"/>
    <n v="0"/>
    <n v="3.8"/>
    <x v="0"/>
    <n v="0.6"/>
  </r>
  <r>
    <x v="1"/>
    <x v="1"/>
    <s v="Fall 2023"/>
    <x v="0"/>
    <s v="HSA 6197_x000a_Hlth Info Systems 2023"/>
    <s v="10/41"/>
    <n v="41"/>
    <n v="10"/>
    <s v="Online"/>
    <x v="5"/>
    <n v="0.5"/>
    <n v="0.2"/>
    <n v="0.1"/>
    <n v="0.1"/>
    <n v="0"/>
    <n v="3.8"/>
    <x v="0"/>
    <n v="0.7"/>
  </r>
  <r>
    <x v="1"/>
    <x v="1"/>
    <s v="Fall 2023"/>
    <x v="0"/>
    <s v="HSA 6197_x000a_Hlth Info Systems 2023"/>
    <s v="10/41"/>
    <n v="41"/>
    <n v="10"/>
    <s v="Online"/>
    <x v="6"/>
    <n v="0.7"/>
    <n v="0.1"/>
    <n v="0"/>
    <n v="0.1"/>
    <n v="0"/>
    <n v="4.0999999999999996"/>
    <x v="1"/>
    <n v="0.79999999999999993"/>
  </r>
  <r>
    <x v="1"/>
    <x v="1"/>
    <s v="Fall 2023"/>
    <x v="0"/>
    <s v="HSA 6717_x000a_Adv Hlth Mgt Res Sem 2023"/>
    <s v="10/41"/>
    <n v="41"/>
    <n v="10"/>
    <s v="Online"/>
    <x v="7"/>
    <n v="0.5"/>
    <n v="0.3"/>
    <n v="0"/>
    <n v="0.1"/>
    <n v="0"/>
    <n v="3.9000000000000004"/>
    <x v="0"/>
    <n v="0.8"/>
  </r>
  <r>
    <x v="1"/>
    <x v="1"/>
    <s v="Fall 2023"/>
    <x v="1"/>
    <s v="HSA 6717_x000a_Adv Hlth Mgt Res Sem 2023"/>
    <s v="3/10"/>
    <n v="10"/>
    <n v="3"/>
    <s v="Modesto Maidique"/>
    <x v="0"/>
    <n v="0.33300000000000002"/>
    <n v="0.33300000000000002"/>
    <n v="0.33300000000000002"/>
    <n v="0"/>
    <n v="0"/>
    <n v="3.996"/>
    <x v="0"/>
    <n v="0.66600000000000004"/>
  </r>
  <r>
    <x v="1"/>
    <x v="1"/>
    <s v="Fall 2023"/>
    <x v="1"/>
    <s v="HSA 6717_x000a_Adv Hlth Mgt Res Sem 2023"/>
    <s v="3/10"/>
    <n v="10"/>
    <n v="3"/>
    <s v="Modesto Maidique"/>
    <x v="1"/>
    <n v="0.33300000000000002"/>
    <n v="0.33300000000000002"/>
    <n v="0.33300000000000002"/>
    <n v="0"/>
    <n v="0"/>
    <n v="3.996"/>
    <x v="0"/>
    <n v="0.66600000000000004"/>
  </r>
  <r>
    <x v="1"/>
    <x v="1"/>
    <s v="Fall 2023"/>
    <x v="1"/>
    <s v="HSA 6717_x000a_Adv Hlth Mgt Res Sem 2023"/>
    <s v="3/10"/>
    <n v="10"/>
    <n v="3"/>
    <s v="Modesto Maidique"/>
    <x v="2"/>
    <n v="0"/>
    <n v="0.33300000000000002"/>
    <n v="0.33300000000000002"/>
    <n v="0.33300000000000002"/>
    <n v="0"/>
    <n v="2.9970000000000003"/>
    <x v="2"/>
    <n v="0.33300000000000002"/>
  </r>
  <r>
    <x v="1"/>
    <x v="1"/>
    <s v="Fall 2023"/>
    <x v="1"/>
    <s v="HSA 6717_x000a_Adv Hlth Mgt Res Sem 2023"/>
    <s v="3/10"/>
    <n v="10"/>
    <n v="3"/>
    <s v="Modesto Maidique"/>
    <x v="3"/>
    <n v="0"/>
    <n v="0.33300000000000002"/>
    <n v="0.66700000000000004"/>
    <n v="0"/>
    <n v="0"/>
    <n v="3.3330000000000002"/>
    <x v="0"/>
    <n v="0.33300000000000002"/>
  </r>
  <r>
    <x v="1"/>
    <x v="1"/>
    <s v="Fall 2023"/>
    <x v="1"/>
    <s v="HSA 6717_x000a_Adv Hlth Mgt Res Sem 2023"/>
    <s v="3/10"/>
    <n v="10"/>
    <n v="3"/>
    <s v="Modesto Maidique"/>
    <x v="4"/>
    <n v="0.33300000000000002"/>
    <n v="0.33300000000000002"/>
    <n v="0.33300000000000002"/>
    <n v="0"/>
    <n v="0"/>
    <n v="3.996"/>
    <x v="0"/>
    <n v="0.66600000000000004"/>
  </r>
  <r>
    <x v="1"/>
    <x v="1"/>
    <s v="Fall 2023"/>
    <x v="1"/>
    <s v="HSA 6717_x000a_Adv Hlth Mgt Res Sem 2023"/>
    <s v="3/10"/>
    <n v="10"/>
    <n v="3"/>
    <s v="Modesto Maidique"/>
    <x v="5"/>
    <n v="0"/>
    <n v="0.33300000000000002"/>
    <n v="0.33300000000000002"/>
    <n v="0.33300000000000002"/>
    <n v="0"/>
    <n v="2.9970000000000003"/>
    <x v="2"/>
    <n v="0.33300000000000002"/>
  </r>
  <r>
    <x v="1"/>
    <x v="1"/>
    <s v="Fall 2023"/>
    <x v="1"/>
    <s v="HSA 6717_x000a_Adv Hlth Mgt Res Sem 2023"/>
    <s v="3/10"/>
    <n v="10"/>
    <n v="3"/>
    <s v="Modesto Maidique"/>
    <x v="6"/>
    <n v="0.66700000000000004"/>
    <n v="0.33300000000000002"/>
    <n v="0"/>
    <n v="0"/>
    <n v="0"/>
    <n v="4.6669999999999998"/>
    <x v="1"/>
    <n v="1"/>
  </r>
  <r>
    <x v="1"/>
    <x v="1"/>
    <s v="Fall 2023"/>
    <x v="1"/>
    <s v="HSA 6717_x000a_Adv Hlth Mgt Res Sem 2023"/>
    <s v="3/10"/>
    <n v="10"/>
    <n v="3"/>
    <s v="Modesto Maidique"/>
    <x v="7"/>
    <n v="0.66700000000000004"/>
    <n v="0.33300000000000002"/>
    <n v="0"/>
    <n v="0"/>
    <n v="0"/>
    <n v="4.6669999999999998"/>
    <x v="1"/>
    <n v="1"/>
  </r>
  <r>
    <x v="1"/>
    <x v="2"/>
    <s v="Summer 2023"/>
    <x v="1"/>
    <s v="HSA 6717_x000a_Adv Hlth Mgt Res Sem 2023"/>
    <s v="6/19"/>
    <n v="19"/>
    <n v="6"/>
    <s v="Online"/>
    <x v="0"/>
    <n v="0.33300000000000002"/>
    <n v="0"/>
    <n v="0"/>
    <n v="0.33300000000000002"/>
    <n v="0.33300000000000002"/>
    <n v="2.6640000000000001"/>
    <x v="2"/>
    <n v="0.33300000000000002"/>
  </r>
  <r>
    <x v="1"/>
    <x v="2"/>
    <s v="Summer 2023"/>
    <x v="1"/>
    <s v="HSA 6717_x000a_Adv Hlth Mgt Res Sem 2023"/>
    <s v="6/19"/>
    <n v="19"/>
    <n v="6"/>
    <s v="Online"/>
    <x v="1"/>
    <n v="0.33300000000000002"/>
    <n v="0"/>
    <n v="0"/>
    <n v="0"/>
    <n v="0.66700000000000004"/>
    <n v="2.3319999999999999"/>
    <x v="2"/>
    <n v="0.33300000000000002"/>
  </r>
  <r>
    <x v="1"/>
    <x v="2"/>
    <s v="Summer 2023"/>
    <x v="1"/>
    <s v="HSA 6717_x000a_Adv Hlth Mgt Res Sem 2023"/>
    <s v="6/19"/>
    <n v="19"/>
    <n v="6"/>
    <s v="Online"/>
    <x v="2"/>
    <n v="0.33300000000000002"/>
    <n v="0"/>
    <n v="0"/>
    <n v="0"/>
    <n v="0.66700000000000004"/>
    <n v="2.3319999999999999"/>
    <x v="2"/>
    <n v="0.33300000000000002"/>
  </r>
  <r>
    <x v="1"/>
    <x v="2"/>
    <s v="Summer 2023"/>
    <x v="1"/>
    <s v="HSA 6717_x000a_Adv Hlth Mgt Res Sem 2023"/>
    <s v="6/19"/>
    <n v="19"/>
    <n v="6"/>
    <s v="Online"/>
    <x v="3"/>
    <n v="0.33300000000000002"/>
    <n v="0"/>
    <n v="0"/>
    <n v="0"/>
    <n v="0.66700000000000004"/>
    <n v="2.3319999999999999"/>
    <x v="2"/>
    <n v="0.33300000000000002"/>
  </r>
  <r>
    <x v="1"/>
    <x v="2"/>
    <s v="Summer 2023"/>
    <x v="1"/>
    <s v="HSA 6717_x000a_Adv Hlth Mgt Res Sem 2023"/>
    <s v="6/19"/>
    <n v="19"/>
    <n v="6"/>
    <s v="Online"/>
    <x v="4"/>
    <n v="0.33300000000000002"/>
    <n v="0"/>
    <n v="0"/>
    <n v="0"/>
    <n v="0.66700000000000004"/>
    <n v="2.3319999999999999"/>
    <x v="2"/>
    <n v="0.33300000000000002"/>
  </r>
  <r>
    <x v="1"/>
    <x v="2"/>
    <s v="Summer 2023"/>
    <x v="1"/>
    <s v="HSA 6717_x000a_Adv Hlth Mgt Res Sem 2023"/>
    <s v="6/19"/>
    <n v="19"/>
    <n v="6"/>
    <s v="Online"/>
    <x v="5"/>
    <n v="0.33300000000000002"/>
    <n v="0"/>
    <n v="0.16700000000000001"/>
    <n v="0"/>
    <n v="0.5"/>
    <n v="2.6659999999999999"/>
    <x v="2"/>
    <n v="0.33300000000000002"/>
  </r>
  <r>
    <x v="1"/>
    <x v="2"/>
    <s v="Summer 2023"/>
    <x v="1"/>
    <s v="HSA 6717_x000a_Adv Hlth Mgt Res Sem 2023"/>
    <s v="6/19"/>
    <n v="19"/>
    <n v="6"/>
    <s v="Online"/>
    <x v="6"/>
    <n v="0.33300000000000002"/>
    <n v="0"/>
    <n v="0.16700000000000001"/>
    <n v="0.16700000000000001"/>
    <n v="0.16700000000000001"/>
    <n v="2.6669999999999998"/>
    <x v="2"/>
    <n v="0.33300000000000002"/>
  </r>
  <r>
    <x v="1"/>
    <x v="2"/>
    <s v="Summer 2023"/>
    <x v="1"/>
    <s v="HSA 6717_x000a_Adv Hlth Mgt Res Sem 2023"/>
    <s v="6/19"/>
    <n v="19"/>
    <n v="6"/>
    <s v="Online"/>
    <x v="7"/>
    <n v="0.33300000000000002"/>
    <n v="0"/>
    <n v="0"/>
    <n v="0.33300000000000002"/>
    <n v="0.33300000000000002"/>
    <n v="2.6640000000000001"/>
    <x v="2"/>
    <n v="0.33300000000000002"/>
  </r>
  <r>
    <x v="1"/>
    <x v="2"/>
    <s v="Summer 2023"/>
    <x v="1"/>
    <s v="HSA 6717_x000a_Adv Hlth Mgt Res Sem 2023"/>
    <s v="7/18"/>
    <n v="18"/>
    <n v="7"/>
    <s v="Online"/>
    <x v="0"/>
    <n v="0.28599999999999998"/>
    <n v="0"/>
    <n v="0"/>
    <n v="0.42899999999999999"/>
    <n v="0.28599999999999998"/>
    <n v="2.5739999999999998"/>
    <x v="2"/>
    <n v="0.28599999999999998"/>
  </r>
  <r>
    <x v="1"/>
    <x v="2"/>
    <s v="Summer 2023"/>
    <x v="1"/>
    <s v="HSA 6717_x000a_Adv Hlth Mgt Res Sem 2023"/>
    <s v="7/18"/>
    <n v="18"/>
    <n v="7"/>
    <s v="Online"/>
    <x v="1"/>
    <n v="0.28599999999999998"/>
    <n v="0"/>
    <n v="0.42899999999999999"/>
    <n v="0.14299999999999999"/>
    <n v="0.14299999999999999"/>
    <n v="3.1459999999999995"/>
    <x v="0"/>
    <n v="0.28599999999999998"/>
  </r>
  <r>
    <x v="1"/>
    <x v="2"/>
    <s v="Summer 2023"/>
    <x v="1"/>
    <s v="HSA 6717_x000a_Adv Hlth Mgt Res Sem 2023"/>
    <s v="7/18"/>
    <n v="18"/>
    <n v="7"/>
    <s v="Online"/>
    <x v="2"/>
    <n v="0.28599999999999998"/>
    <n v="0"/>
    <n v="0"/>
    <n v="0.14299999999999999"/>
    <n v="0.57099999999999995"/>
    <n v="2.2869999999999999"/>
    <x v="2"/>
    <n v="0.28599999999999998"/>
  </r>
  <r>
    <x v="1"/>
    <x v="2"/>
    <s v="Summer 2023"/>
    <x v="1"/>
    <s v="HSA 6717_x000a_Adv Hlth Mgt Res Sem 2023"/>
    <s v="7/18"/>
    <n v="18"/>
    <n v="7"/>
    <s v="Online"/>
    <x v="3"/>
    <n v="0.28599999999999998"/>
    <n v="0"/>
    <n v="0"/>
    <n v="0.42899999999999999"/>
    <n v="0.28599999999999998"/>
    <n v="2.5739999999999998"/>
    <x v="2"/>
    <n v="0.28599999999999998"/>
  </r>
  <r>
    <x v="1"/>
    <x v="2"/>
    <s v="Summer 2023"/>
    <x v="1"/>
    <s v="HSA 6717_x000a_Adv Hlth Mgt Res Sem 2023"/>
    <s v="7/18"/>
    <n v="18"/>
    <n v="7"/>
    <s v="Online"/>
    <x v="4"/>
    <n v="0.28599999999999998"/>
    <n v="0"/>
    <n v="0.14299999999999999"/>
    <n v="0.28599999999999998"/>
    <n v="0.28599999999999998"/>
    <n v="2.7170000000000001"/>
    <x v="2"/>
    <n v="0.28599999999999998"/>
  </r>
  <r>
    <x v="1"/>
    <x v="2"/>
    <s v="Summer 2023"/>
    <x v="1"/>
    <s v="HSA 6717_x000a_Adv Hlth Mgt Res Sem 2023"/>
    <s v="7/18"/>
    <n v="18"/>
    <n v="7"/>
    <s v="Online"/>
    <x v="5"/>
    <n v="0.28599999999999998"/>
    <n v="0"/>
    <n v="0.28599999999999998"/>
    <n v="0.28599999999999998"/>
    <n v="0.14299999999999999"/>
    <n v="3.0029999999999997"/>
    <x v="0"/>
    <n v="0.28599999999999998"/>
  </r>
  <r>
    <x v="1"/>
    <x v="2"/>
    <s v="Summer 2023"/>
    <x v="1"/>
    <s v="HSA 6717_x000a_Adv Hlth Mgt Res Sem 2023"/>
    <s v="7/18"/>
    <n v="18"/>
    <n v="7"/>
    <s v="Online"/>
    <x v="6"/>
    <n v="0.42899999999999999"/>
    <n v="0.28599999999999998"/>
    <n v="0.14299999999999999"/>
    <n v="0.14299999999999999"/>
    <n v="0"/>
    <n v="4.0039999999999996"/>
    <x v="1"/>
    <n v="0.71499999999999997"/>
  </r>
  <r>
    <x v="1"/>
    <x v="2"/>
    <s v="Summer 2023"/>
    <x v="1"/>
    <s v="HSA 6717_x000a_Adv Hlth Mgt Res Sem 2023"/>
    <s v="7/18"/>
    <n v="18"/>
    <n v="7"/>
    <s v="Online"/>
    <x v="7"/>
    <n v="0.28599999999999998"/>
    <n v="0"/>
    <n v="0.14299999999999999"/>
    <n v="0.57099999999999995"/>
    <n v="0"/>
    <n v="3.0009999999999999"/>
    <x v="0"/>
    <n v="0.28599999999999998"/>
  </r>
  <r>
    <x v="1"/>
    <x v="3"/>
    <s v="Spring 2023"/>
    <x v="1"/>
    <s v="HSA 6717_x000a_Adv Hlth Mgt Res Sem 2023"/>
    <s v="3/9"/>
    <n v="9"/>
    <n v="3"/>
    <s v="Biscayne Bay"/>
    <x v="0"/>
    <n v="0.66700000000000004"/>
    <n v="0"/>
    <n v="0.33300000000000002"/>
    <n v="0"/>
    <n v="0"/>
    <n v="4.3339999999999996"/>
    <x v="1"/>
    <n v="0.66700000000000004"/>
  </r>
  <r>
    <x v="1"/>
    <x v="3"/>
    <s v="Spring 2023"/>
    <x v="1"/>
    <s v="HSA 6717_x000a_Adv Hlth Mgt Res Sem 2023"/>
    <s v="3/9"/>
    <n v="9"/>
    <n v="3"/>
    <s v="Biscayne Bay"/>
    <x v="1"/>
    <n v="0.33300000000000002"/>
    <n v="0.33300000000000002"/>
    <n v="0.33300000000000002"/>
    <n v="0"/>
    <n v="0"/>
    <n v="3.996"/>
    <x v="0"/>
    <n v="0.66600000000000004"/>
  </r>
  <r>
    <x v="1"/>
    <x v="3"/>
    <s v="Spring 2023"/>
    <x v="1"/>
    <s v="HSA 6717_x000a_Adv Hlth Mgt Res Sem 2023"/>
    <s v="3/9"/>
    <n v="9"/>
    <n v="3"/>
    <s v="Biscayne Bay"/>
    <x v="2"/>
    <n v="0.33300000000000002"/>
    <n v="0.33300000000000002"/>
    <n v="0.33300000000000002"/>
    <n v="0"/>
    <n v="0"/>
    <n v="3.996"/>
    <x v="0"/>
    <n v="0.66600000000000004"/>
  </r>
  <r>
    <x v="1"/>
    <x v="3"/>
    <s v="Spring 2023"/>
    <x v="1"/>
    <s v="HSA 6717_x000a_Adv Hlth Mgt Res Sem 2023"/>
    <s v="3/9"/>
    <n v="9"/>
    <n v="3"/>
    <s v="Biscayne Bay"/>
    <x v="3"/>
    <n v="0"/>
    <n v="0.33300000000000002"/>
    <n v="0.66700000000000004"/>
    <n v="0"/>
    <n v="0"/>
    <n v="3.3330000000000002"/>
    <x v="0"/>
    <n v="0.33300000000000002"/>
  </r>
  <r>
    <x v="1"/>
    <x v="3"/>
    <s v="Spring 2023"/>
    <x v="1"/>
    <s v="HSA 6717_x000a_Adv Hlth Mgt Res Sem 2023"/>
    <s v="3/9"/>
    <n v="9"/>
    <n v="3"/>
    <s v="Biscayne Bay"/>
    <x v="4"/>
    <n v="0.33300000000000002"/>
    <n v="0.33300000000000002"/>
    <n v="0.33300000000000002"/>
    <n v="0"/>
    <n v="0"/>
    <n v="3.996"/>
    <x v="0"/>
    <n v="0.66600000000000004"/>
  </r>
  <r>
    <x v="1"/>
    <x v="3"/>
    <s v="Spring 2023"/>
    <x v="1"/>
    <s v="HSA 6717_x000a_Adv Hlth Mgt Res Sem 2023"/>
    <s v="3/9"/>
    <n v="9"/>
    <n v="3"/>
    <s v="Biscayne Bay"/>
    <x v="5"/>
    <n v="0.33300000000000002"/>
    <n v="0"/>
    <n v="0"/>
    <n v="0.66700000000000004"/>
    <n v="0"/>
    <n v="2.9990000000000001"/>
    <x v="2"/>
    <n v="0.33300000000000002"/>
  </r>
  <r>
    <x v="1"/>
    <x v="3"/>
    <s v="Spring 2023"/>
    <x v="1"/>
    <s v="HSA 6717_x000a_Adv Hlth Mgt Res Sem 2023"/>
    <s v="3/9"/>
    <n v="9"/>
    <n v="3"/>
    <s v="Biscayne Bay"/>
    <x v="6"/>
    <n v="0.66700000000000004"/>
    <n v="0"/>
    <n v="0.33300000000000002"/>
    <n v="0"/>
    <n v="0"/>
    <n v="4.3339999999999996"/>
    <x v="1"/>
    <n v="0.66700000000000004"/>
  </r>
  <r>
    <x v="1"/>
    <x v="3"/>
    <s v="Spring 2023"/>
    <x v="1"/>
    <s v="HSA 6717_x000a_Adv Hlth Mgt Res Sem 2023"/>
    <s v="3/9"/>
    <n v="9"/>
    <n v="3"/>
    <s v="Biscayne Bay"/>
    <x v="7"/>
    <n v="0.33300000000000002"/>
    <n v="0.33300000000000002"/>
    <n v="0.33300000000000002"/>
    <n v="0"/>
    <n v="0"/>
    <n v="3.996"/>
    <x v="0"/>
    <n v="0.66600000000000004"/>
  </r>
  <r>
    <x v="2"/>
    <x v="4"/>
    <s v="Fall 2022"/>
    <x v="1"/>
    <s v="HSA 6717_x000a_Adv Hlth Mgt Res Sem 2022"/>
    <s v="10/13"/>
    <n v="13"/>
    <n v="10"/>
    <s v="Modesto Maidique"/>
    <x v="0"/>
    <n v="0.5"/>
    <n v="0.3"/>
    <n v="0.1"/>
    <n v="0.1"/>
    <n v="0"/>
    <n v="4.2"/>
    <x v="1"/>
    <n v="0.8"/>
  </r>
  <r>
    <x v="2"/>
    <x v="4"/>
    <s v="Fall 2022"/>
    <x v="1"/>
    <s v="HSA 6717_x000a_Adv Hlth Mgt Res Sem 2022"/>
    <s v="10/13"/>
    <n v="13"/>
    <n v="10"/>
    <s v="Modesto Maidique"/>
    <x v="1"/>
    <n v="0.8"/>
    <n v="0.1"/>
    <n v="0"/>
    <n v="0.1"/>
    <n v="0"/>
    <n v="4.6000000000000005"/>
    <x v="1"/>
    <n v="0.9"/>
  </r>
  <r>
    <x v="2"/>
    <x v="4"/>
    <s v="Fall 2022"/>
    <x v="1"/>
    <s v="HSA 6717_x000a_Adv Hlth Mgt Res Sem 2022"/>
    <s v="10/13"/>
    <n v="13"/>
    <n v="10"/>
    <s v="Modesto Maidique"/>
    <x v="2"/>
    <n v="0.6"/>
    <n v="0.1"/>
    <n v="0.2"/>
    <n v="0.1"/>
    <n v="0"/>
    <n v="4.2"/>
    <x v="1"/>
    <n v="0.7"/>
  </r>
  <r>
    <x v="2"/>
    <x v="4"/>
    <s v="Fall 2022"/>
    <x v="1"/>
    <s v="HSA 6717_x000a_Adv Hlth Mgt Res Sem 2022"/>
    <s v="10/13"/>
    <n v="13"/>
    <n v="10"/>
    <s v="Modesto Maidique"/>
    <x v="3"/>
    <n v="0.6"/>
    <n v="0.2"/>
    <n v="0.1"/>
    <n v="0.1"/>
    <n v="0"/>
    <n v="4.3"/>
    <x v="1"/>
    <n v="0.8"/>
  </r>
  <r>
    <x v="2"/>
    <x v="4"/>
    <s v="Fall 2022"/>
    <x v="1"/>
    <s v="HSA 6717_x000a_Adv Hlth Mgt Res Sem 2022"/>
    <s v="10/13"/>
    <n v="13"/>
    <n v="10"/>
    <s v="Modesto Maidique"/>
    <x v="4"/>
    <n v="0.8"/>
    <n v="0"/>
    <n v="0.1"/>
    <n v="0.1"/>
    <n v="0"/>
    <n v="4.5"/>
    <x v="1"/>
    <n v="0.8"/>
  </r>
  <r>
    <x v="2"/>
    <x v="4"/>
    <s v="Fall 2022"/>
    <x v="1"/>
    <s v="HSA 6717_x000a_Adv Hlth Mgt Res Sem 2022"/>
    <s v="10/13"/>
    <n v="13"/>
    <n v="10"/>
    <s v="Modesto Maidique"/>
    <x v="5"/>
    <n v="0.6"/>
    <n v="0.2"/>
    <n v="0"/>
    <n v="0.2"/>
    <n v="0"/>
    <n v="4.2"/>
    <x v="1"/>
    <n v="0.8"/>
  </r>
  <r>
    <x v="2"/>
    <x v="4"/>
    <s v="Fall 2022"/>
    <x v="1"/>
    <s v="HSA 6717_x000a_Adv Hlth Mgt Res Sem 2022"/>
    <s v="10/13"/>
    <n v="13"/>
    <n v="10"/>
    <s v="Modesto Maidique"/>
    <x v="6"/>
    <n v="0.8"/>
    <n v="0"/>
    <n v="0.1"/>
    <n v="0.1"/>
    <n v="0"/>
    <n v="4.5"/>
    <x v="1"/>
    <n v="0.8"/>
  </r>
  <r>
    <x v="2"/>
    <x v="4"/>
    <s v="Fall 2022"/>
    <x v="1"/>
    <s v="HSA 6717_x000a_Adv Hlth Mgt Res Sem 2022"/>
    <s v="10/13"/>
    <n v="13"/>
    <n v="10"/>
    <s v="Modesto Maidique"/>
    <x v="7"/>
    <n v="0.8"/>
    <n v="0.1"/>
    <n v="0"/>
    <n v="0.1"/>
    <n v="0"/>
    <n v="4.6000000000000005"/>
    <x v="1"/>
    <n v="0.9"/>
  </r>
  <r>
    <x v="2"/>
    <x v="5"/>
    <s v="Summer 2022"/>
    <x v="1"/>
    <s v="HSA 6717_x000a_Adv Hlth Mgt Res Sem 2022"/>
    <s v="15/32"/>
    <n v="32"/>
    <n v="15"/>
    <s v="Online"/>
    <x v="0"/>
    <n v="0.26700000000000002"/>
    <n v="0"/>
    <n v="0.26700000000000002"/>
    <n v="0.2"/>
    <n v="0.2"/>
    <n v="2.7360000000000002"/>
    <x v="2"/>
    <n v="0.26700000000000002"/>
  </r>
  <r>
    <x v="2"/>
    <x v="5"/>
    <s v="Summer 2022"/>
    <x v="1"/>
    <s v="HSA 6717_x000a_Adv Hlth Mgt Res Sem 2022"/>
    <s v="15/32"/>
    <n v="32"/>
    <n v="15"/>
    <s v="Online"/>
    <x v="1"/>
    <n v="0.26700000000000002"/>
    <n v="0"/>
    <n v="0.2"/>
    <n v="0.2"/>
    <n v="0.26700000000000002"/>
    <n v="2.6019999999999999"/>
    <x v="2"/>
    <n v="0.26700000000000002"/>
  </r>
  <r>
    <x v="2"/>
    <x v="5"/>
    <s v="Summer 2022"/>
    <x v="1"/>
    <s v="HSA 6717_x000a_Adv Hlth Mgt Res Sem 2022"/>
    <s v="15/32"/>
    <n v="32"/>
    <n v="15"/>
    <s v="Online"/>
    <x v="2"/>
    <n v="0.26700000000000002"/>
    <n v="0"/>
    <n v="0.13300000000000001"/>
    <n v="0.2"/>
    <n v="0.4"/>
    <n v="2.5339999999999998"/>
    <x v="2"/>
    <n v="0.26700000000000002"/>
  </r>
  <r>
    <x v="2"/>
    <x v="5"/>
    <s v="Summer 2022"/>
    <x v="1"/>
    <s v="HSA 6717_x000a_Adv Hlth Mgt Res Sem 2022"/>
    <s v="15/32"/>
    <n v="32"/>
    <n v="15"/>
    <s v="Online"/>
    <x v="3"/>
    <n v="0.26700000000000002"/>
    <n v="0"/>
    <n v="0.26700000000000002"/>
    <n v="0.2"/>
    <n v="0.2"/>
    <n v="2.7360000000000002"/>
    <x v="2"/>
    <n v="0.26700000000000002"/>
  </r>
  <r>
    <x v="2"/>
    <x v="5"/>
    <s v="Summer 2022"/>
    <x v="1"/>
    <s v="HSA 6717_x000a_Adv Hlth Mgt Res Sem 2022"/>
    <s v="15/32"/>
    <n v="32"/>
    <n v="15"/>
    <s v="Online"/>
    <x v="4"/>
    <n v="0.26700000000000002"/>
    <n v="0"/>
    <n v="0.2"/>
    <n v="0.2"/>
    <n v="0.26700000000000002"/>
    <n v="2.6019999999999999"/>
    <x v="2"/>
    <n v="0.26700000000000002"/>
  </r>
  <r>
    <x v="2"/>
    <x v="5"/>
    <s v="Summer 2022"/>
    <x v="1"/>
    <s v="HSA 6717_x000a_Adv Hlth Mgt Res Sem 2022"/>
    <s v="15/32"/>
    <n v="32"/>
    <n v="15"/>
    <s v="Online"/>
    <x v="5"/>
    <n v="0.2"/>
    <n v="0"/>
    <n v="0.13300000000000001"/>
    <n v="6.7000000000000004E-2"/>
    <n v="0.53300000000000003"/>
    <n v="2.0659999999999998"/>
    <x v="2"/>
    <n v="0.2"/>
  </r>
  <r>
    <x v="2"/>
    <x v="5"/>
    <s v="Summer 2022"/>
    <x v="1"/>
    <s v="HSA 6717_x000a_Adv Hlth Mgt Res Sem 2022"/>
    <s v="15/32"/>
    <n v="32"/>
    <n v="15"/>
    <s v="Online"/>
    <x v="6"/>
    <n v="0.26700000000000002"/>
    <n v="6.7000000000000004E-2"/>
    <n v="0.2"/>
    <n v="0.2"/>
    <n v="0.2"/>
    <n v="2.8030000000000004"/>
    <x v="2"/>
    <n v="0.33400000000000002"/>
  </r>
  <r>
    <x v="2"/>
    <x v="5"/>
    <s v="Summer 2022"/>
    <x v="1"/>
    <s v="HSA 6717_x000a_Adv Hlth Mgt Res Sem 2022"/>
    <s v="15/32"/>
    <n v="32"/>
    <n v="15"/>
    <s v="Online"/>
    <x v="7"/>
    <n v="0.26700000000000002"/>
    <n v="0"/>
    <n v="0.13300000000000001"/>
    <n v="0.2"/>
    <n v="0.33300000000000002"/>
    <n v="2.4670000000000001"/>
    <x v="2"/>
    <n v="0.26700000000000002"/>
  </r>
  <r>
    <x v="2"/>
    <x v="6"/>
    <s v="Spring 2022"/>
    <x v="1"/>
    <s v="HSA 6717_x000a_Adv Hlth Mgt Res Sem 2022"/>
    <s v="5/14"/>
    <n v="14"/>
    <n v="5"/>
    <s v="Biscayne Bay"/>
    <x v="0"/>
    <n v="0.2"/>
    <n v="0.6"/>
    <n v="0"/>
    <n v="0.2"/>
    <n v="0"/>
    <n v="3.8"/>
    <x v="0"/>
    <n v="0.8"/>
  </r>
  <r>
    <x v="2"/>
    <x v="6"/>
    <s v="Spring 2022"/>
    <x v="1"/>
    <s v="HSA 6717_x000a_Adv Hlth Mgt Res Sem 2022"/>
    <s v="5/14"/>
    <n v="14"/>
    <n v="5"/>
    <s v="Biscayne Bay"/>
    <x v="1"/>
    <n v="0.2"/>
    <n v="0.6"/>
    <n v="0"/>
    <n v="0.2"/>
    <n v="0"/>
    <n v="3.8"/>
    <x v="0"/>
    <n v="0.8"/>
  </r>
  <r>
    <x v="2"/>
    <x v="6"/>
    <s v="Spring 2022"/>
    <x v="1"/>
    <s v="HSA 6717_x000a_Adv Hlth Mgt Res Sem 2022"/>
    <s v="5/14"/>
    <n v="14"/>
    <n v="5"/>
    <s v="Biscayne Bay"/>
    <x v="2"/>
    <n v="0.2"/>
    <n v="0.4"/>
    <n v="0.2"/>
    <n v="0.2"/>
    <n v="0"/>
    <n v="3.6"/>
    <x v="0"/>
    <n v="0.60000000000000009"/>
  </r>
  <r>
    <x v="2"/>
    <x v="6"/>
    <s v="Spring 2022"/>
    <x v="1"/>
    <s v="HSA 6717_x000a_Adv Hlth Mgt Res Sem 2022"/>
    <s v="5/14"/>
    <n v="14"/>
    <n v="5"/>
    <s v="Biscayne Bay"/>
    <x v="3"/>
    <n v="0.4"/>
    <n v="0.2"/>
    <n v="0"/>
    <n v="0.4"/>
    <n v="0"/>
    <n v="3.5999999999999996"/>
    <x v="0"/>
    <n v="0.60000000000000009"/>
  </r>
  <r>
    <x v="2"/>
    <x v="6"/>
    <s v="Spring 2022"/>
    <x v="1"/>
    <s v="HSA 6717_x000a_Adv Hlth Mgt Res Sem 2022"/>
    <s v="5/14"/>
    <n v="14"/>
    <n v="5"/>
    <s v="Biscayne Bay"/>
    <x v="4"/>
    <n v="0.2"/>
    <n v="0.4"/>
    <n v="0.2"/>
    <n v="0.2"/>
    <n v="0"/>
    <n v="3.6"/>
    <x v="0"/>
    <n v="0.60000000000000009"/>
  </r>
  <r>
    <x v="2"/>
    <x v="6"/>
    <s v="Spring 2022"/>
    <x v="1"/>
    <s v="HSA 6717_x000a_Adv Hlth Mgt Res Sem 2022"/>
    <s v="5/14"/>
    <n v="14"/>
    <n v="5"/>
    <s v="Biscayne Bay"/>
    <x v="5"/>
    <n v="0.2"/>
    <n v="0.4"/>
    <n v="0.2"/>
    <n v="0"/>
    <n v="0.2"/>
    <n v="3.4000000000000004"/>
    <x v="0"/>
    <n v="0.60000000000000009"/>
  </r>
  <r>
    <x v="2"/>
    <x v="6"/>
    <s v="Spring 2022"/>
    <x v="1"/>
    <s v="HSA 6717_x000a_Adv Hlth Mgt Res Sem 2022"/>
    <s v="5/14"/>
    <n v="14"/>
    <n v="5"/>
    <s v="Biscayne Bay"/>
    <x v="6"/>
    <n v="0.6"/>
    <n v="0.2"/>
    <n v="0"/>
    <n v="0.2"/>
    <n v="0"/>
    <n v="4.2"/>
    <x v="1"/>
    <n v="0.8"/>
  </r>
  <r>
    <x v="2"/>
    <x v="6"/>
    <s v="Spring 2022"/>
    <x v="1"/>
    <s v="HSA 6717_x000a_Adv Hlth Mgt Res Sem 2022"/>
    <s v="5/14"/>
    <n v="14"/>
    <n v="5"/>
    <s v="Biscayne Bay"/>
    <x v="7"/>
    <n v="0.2"/>
    <n v="0.6"/>
    <n v="0"/>
    <n v="0.2"/>
    <n v="0"/>
    <n v="3.8"/>
    <x v="0"/>
    <n v="0.8"/>
  </r>
  <r>
    <x v="3"/>
    <x v="7"/>
    <s v="Summer 2021"/>
    <x v="1"/>
    <s v="HSA 6717_x000a_Adv Hlth Mgt Res Sem 2021"/>
    <s v="18/28"/>
    <n v="28"/>
    <n v="18"/>
    <s v="Online"/>
    <x v="0"/>
    <n v="0.38900000000000001"/>
    <n v="0.111"/>
    <n v="0.27800000000000002"/>
    <n v="0.16700000000000001"/>
    <n v="5.6000000000000001E-2"/>
    <n v="3.6130000000000004"/>
    <x v="0"/>
    <n v="0.5"/>
  </r>
  <r>
    <x v="3"/>
    <x v="7"/>
    <s v="Summer 2021"/>
    <x v="1"/>
    <s v="HSA 6717_x000a_Adv Hlth Mgt Res Sem 2021"/>
    <s v="18/28"/>
    <n v="28"/>
    <n v="18"/>
    <s v="Online"/>
    <x v="1"/>
    <n v="0.38900000000000001"/>
    <n v="0.27800000000000002"/>
    <n v="0.111"/>
    <n v="0.111"/>
    <n v="0.111"/>
    <n v="3.7230000000000008"/>
    <x v="0"/>
    <n v="0.66700000000000004"/>
  </r>
  <r>
    <x v="3"/>
    <x v="7"/>
    <s v="Summer 2021"/>
    <x v="1"/>
    <s v="HSA 6717_x000a_Adv Hlth Mgt Res Sem 2021"/>
    <s v="18/28"/>
    <n v="28"/>
    <n v="18"/>
    <s v="Online"/>
    <x v="2"/>
    <n v="0.44400000000000001"/>
    <n v="5.6000000000000001E-2"/>
    <n v="0.222"/>
    <n v="0.111"/>
    <n v="0.16700000000000001"/>
    <n v="3.4990000000000001"/>
    <x v="0"/>
    <n v="0.5"/>
  </r>
  <r>
    <x v="3"/>
    <x v="7"/>
    <s v="Summer 2021"/>
    <x v="1"/>
    <s v="HSA 6717_x000a_Adv Hlth Mgt Res Sem 2021"/>
    <s v="18/28"/>
    <n v="28"/>
    <n v="18"/>
    <s v="Online"/>
    <x v="3"/>
    <n v="0.44400000000000001"/>
    <n v="0.16700000000000001"/>
    <n v="0.16700000000000001"/>
    <n v="0.111"/>
    <n v="0.111"/>
    <n v="3.7220000000000004"/>
    <x v="0"/>
    <n v="0.61099999999999999"/>
  </r>
  <r>
    <x v="3"/>
    <x v="7"/>
    <s v="Summer 2021"/>
    <x v="1"/>
    <s v="HSA 6717_x000a_Adv Hlth Mgt Res Sem 2021"/>
    <s v="18/28"/>
    <n v="28"/>
    <n v="18"/>
    <s v="Online"/>
    <x v="4"/>
    <n v="0.38900000000000001"/>
    <n v="0.111"/>
    <n v="0.27800000000000002"/>
    <n v="0.111"/>
    <n v="0.111"/>
    <n v="3.5560000000000005"/>
    <x v="0"/>
    <n v="0.5"/>
  </r>
  <r>
    <x v="3"/>
    <x v="7"/>
    <s v="Summer 2021"/>
    <x v="1"/>
    <s v="HSA 6717_x000a_Adv Hlth Mgt Res Sem 2021"/>
    <s v="18/28"/>
    <n v="28"/>
    <n v="18"/>
    <s v="Online"/>
    <x v="5"/>
    <n v="0.44400000000000001"/>
    <n v="0.16700000000000001"/>
    <n v="0.16700000000000001"/>
    <n v="0.16700000000000001"/>
    <n v="5.6000000000000001E-2"/>
    <n v="3.7790000000000004"/>
    <x v="0"/>
    <n v="0.61099999999999999"/>
  </r>
  <r>
    <x v="3"/>
    <x v="7"/>
    <s v="Summer 2021"/>
    <x v="1"/>
    <s v="HSA 6717_x000a_Adv Hlth Mgt Res Sem 2021"/>
    <s v="18/28"/>
    <n v="28"/>
    <n v="18"/>
    <s v="Online"/>
    <x v="6"/>
    <n v="0.44400000000000001"/>
    <n v="0.16700000000000001"/>
    <n v="0.222"/>
    <n v="5.6000000000000001E-2"/>
    <n v="5.6000000000000001E-2"/>
    <n v="3.7220000000000004"/>
    <x v="0"/>
    <n v="0.61099999999999999"/>
  </r>
  <r>
    <x v="3"/>
    <x v="7"/>
    <s v="Summer 2021"/>
    <x v="1"/>
    <s v="HSA 6717_x000a_Adv Hlth Mgt Res Sem 2021"/>
    <s v="18/28"/>
    <n v="28"/>
    <n v="18"/>
    <s v="Online"/>
    <x v="7"/>
    <n v="0.38900000000000001"/>
    <n v="0.16700000000000001"/>
    <n v="0.222"/>
    <n v="0.16700000000000001"/>
    <n v="5.6000000000000001E-2"/>
    <n v="3.669"/>
    <x v="0"/>
    <n v="0.55600000000000005"/>
  </r>
  <r>
    <x v="3"/>
    <x v="8"/>
    <s v="Spring 2021"/>
    <x v="1"/>
    <s v="HSA 6717_x000a_Adv Hlth Mgt Res Sem 2021"/>
    <s v="2/12"/>
    <n v="12"/>
    <n v="2"/>
    <s v="Other"/>
    <x v="0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1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2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3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4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5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6"/>
    <n v="1"/>
    <n v="0"/>
    <n v="0"/>
    <n v="0"/>
    <n v="0"/>
    <n v="5"/>
    <x v="1"/>
    <n v="1"/>
  </r>
  <r>
    <x v="3"/>
    <x v="8"/>
    <s v="Spring 2021"/>
    <x v="1"/>
    <s v="HSA 6717_x000a_Adv Hlth Mgt Res Sem 2021"/>
    <s v="2/12"/>
    <n v="12"/>
    <n v="2"/>
    <s v="Other"/>
    <x v="7"/>
    <n v="1"/>
    <n v="0"/>
    <n v="0"/>
    <n v="0"/>
    <n v="0"/>
    <n v="5"/>
    <x v="1"/>
    <n v="1"/>
  </r>
  <r>
    <x v="3"/>
    <x v="8"/>
    <s v="Spring 2021"/>
    <x v="1"/>
    <s v="HSA 6717_x000a_Adv Hlth Mgt Res Sem 2021"/>
    <s v="9/33"/>
    <n v="33"/>
    <n v="9"/>
    <s v="Online"/>
    <x v="0"/>
    <n v="0.66700000000000004"/>
    <n v="0.111"/>
    <n v="0.222"/>
    <n v="0"/>
    <n v="0"/>
    <n v="4.4450000000000003"/>
    <x v="1"/>
    <n v="0.77800000000000002"/>
  </r>
  <r>
    <x v="3"/>
    <x v="8"/>
    <s v="Spring 2021"/>
    <x v="1"/>
    <s v="HSA 6717_x000a_Adv Hlth Mgt Res Sem 2021"/>
    <s v="9/33"/>
    <n v="33"/>
    <n v="9"/>
    <s v="Online"/>
    <x v="1"/>
    <n v="0.55600000000000005"/>
    <n v="0.222"/>
    <n v="0"/>
    <n v="0.111"/>
    <n v="0.111"/>
    <n v="4.0010000000000003"/>
    <x v="1"/>
    <n v="0.77800000000000002"/>
  </r>
  <r>
    <x v="3"/>
    <x v="8"/>
    <s v="Spring 2021"/>
    <x v="1"/>
    <s v="HSA 6717_x000a_Adv Hlth Mgt Res Sem 2021"/>
    <s v="9/33"/>
    <n v="33"/>
    <n v="9"/>
    <s v="Online"/>
    <x v="2"/>
    <n v="0.55600000000000005"/>
    <n v="0.222"/>
    <n v="0.222"/>
    <n v="0"/>
    <n v="0"/>
    <n v="4.3340000000000005"/>
    <x v="1"/>
    <n v="0.77800000000000002"/>
  </r>
  <r>
    <x v="3"/>
    <x v="8"/>
    <s v="Spring 2021"/>
    <x v="1"/>
    <s v="HSA 6717_x000a_Adv Hlth Mgt Res Sem 2021"/>
    <s v="9/33"/>
    <n v="33"/>
    <n v="9"/>
    <s v="Online"/>
    <x v="3"/>
    <n v="0.44400000000000001"/>
    <n v="0.33300000000000002"/>
    <n v="0.111"/>
    <n v="0"/>
    <n v="0"/>
    <n v="3.8850000000000007"/>
    <x v="0"/>
    <n v="0.77700000000000002"/>
  </r>
  <r>
    <x v="3"/>
    <x v="8"/>
    <s v="Spring 2021"/>
    <x v="1"/>
    <s v="HSA 6717_x000a_Adv Hlth Mgt Res Sem 2021"/>
    <s v="9/33"/>
    <n v="33"/>
    <n v="9"/>
    <s v="Online"/>
    <x v="4"/>
    <n v="0.55600000000000005"/>
    <n v="0.111"/>
    <n v="0.222"/>
    <n v="0.111"/>
    <n v="0"/>
    <n v="4.1120000000000001"/>
    <x v="1"/>
    <n v="0.66700000000000004"/>
  </r>
  <r>
    <x v="3"/>
    <x v="8"/>
    <s v="Spring 2021"/>
    <x v="1"/>
    <s v="HSA 6717_x000a_Adv Hlth Mgt Res Sem 2021"/>
    <s v="9/33"/>
    <n v="33"/>
    <n v="9"/>
    <s v="Online"/>
    <x v="5"/>
    <n v="0.77800000000000002"/>
    <n v="0.111"/>
    <n v="0.111"/>
    <n v="0"/>
    <n v="0"/>
    <n v="4.6670000000000007"/>
    <x v="1"/>
    <n v="0.88900000000000001"/>
  </r>
  <r>
    <x v="3"/>
    <x v="8"/>
    <s v="Spring 2021"/>
    <x v="1"/>
    <s v="HSA 6717_x000a_Adv Hlth Mgt Res Sem 2021"/>
    <s v="9/33"/>
    <n v="33"/>
    <n v="9"/>
    <s v="Online"/>
    <x v="6"/>
    <n v="0.88900000000000001"/>
    <n v="0"/>
    <n v="0.111"/>
    <n v="0"/>
    <n v="0"/>
    <n v="4.7780000000000005"/>
    <x v="1"/>
    <n v="0.88900000000000001"/>
  </r>
  <r>
    <x v="3"/>
    <x v="8"/>
    <s v="Spring 2021"/>
    <x v="1"/>
    <s v="HSA 6930_x000a_Pro Seminar Hlth Mgt 2021"/>
    <s v="9/33"/>
    <n v="33"/>
    <n v="9"/>
    <s v="Online"/>
    <x v="7"/>
    <n v="0.66700000000000004"/>
    <n v="0.222"/>
    <n v="0.111"/>
    <n v="0"/>
    <n v="0"/>
    <n v="4.556"/>
    <x v="1"/>
    <n v="0.88900000000000001"/>
  </r>
  <r>
    <x v="3"/>
    <x v="8"/>
    <s v="Spring 2021"/>
    <x v="2"/>
    <s v="HSA 6930_x000a_Pro Seminar Hlth Mgt 2021"/>
    <s v="2/12"/>
    <n v="12"/>
    <n v="2"/>
    <s v="Other"/>
    <x v="0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1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2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3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4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5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6"/>
    <n v="1"/>
    <n v="0"/>
    <n v="0"/>
    <n v="0"/>
    <n v="0"/>
    <n v="5"/>
    <x v="1"/>
    <n v="1"/>
  </r>
  <r>
    <x v="3"/>
    <x v="8"/>
    <s v="Spring 2021"/>
    <x v="2"/>
    <s v="HSA 6930_x000a_Pro Seminar Hlth Mgt 2021"/>
    <s v="2/12"/>
    <n v="12"/>
    <n v="2"/>
    <s v="Other"/>
    <x v="7"/>
    <n v="1"/>
    <n v="0"/>
    <n v="0"/>
    <n v="0"/>
    <n v="0"/>
    <n v="5"/>
    <x v="1"/>
    <n v="1"/>
  </r>
  <r>
    <x v="3"/>
    <x v="8"/>
    <s v="Spring 2021"/>
    <x v="2"/>
    <s v="HSA 6930_x000a_Pro Seminar Hlth Mgt 2021"/>
    <s v="9/32"/>
    <n v="32"/>
    <n v="9"/>
    <s v="Online"/>
    <x v="0"/>
    <n v="0.66700000000000004"/>
    <n v="0"/>
    <n v="0.222"/>
    <n v="0.111"/>
    <n v="0"/>
    <n v="4.2230000000000008"/>
    <x v="1"/>
    <n v="0.66700000000000004"/>
  </r>
  <r>
    <x v="3"/>
    <x v="8"/>
    <s v="Spring 2021"/>
    <x v="2"/>
    <s v="HSA 6930_x000a_Pro Seminar Hlth Mgt 2021"/>
    <s v="9/32"/>
    <n v="32"/>
    <n v="9"/>
    <s v="Online"/>
    <x v="1"/>
    <n v="0.66700000000000004"/>
    <n v="0"/>
    <n v="0.33300000000000002"/>
    <n v="0"/>
    <n v="0"/>
    <n v="4.3339999999999996"/>
    <x v="1"/>
    <n v="0.66700000000000004"/>
  </r>
  <r>
    <x v="3"/>
    <x v="8"/>
    <s v="Spring 2021"/>
    <x v="2"/>
    <s v="HSA 6930_x000a_Pro Seminar Hlth Mgt 2021"/>
    <s v="9/32"/>
    <n v="32"/>
    <n v="9"/>
    <s v="Online"/>
    <x v="2"/>
    <n v="0.66700000000000004"/>
    <n v="0"/>
    <n v="0.33300000000000002"/>
    <n v="0"/>
    <n v="0"/>
    <n v="4.3339999999999996"/>
    <x v="1"/>
    <n v="0.66700000000000004"/>
  </r>
  <r>
    <x v="3"/>
    <x v="8"/>
    <s v="Spring 2021"/>
    <x v="2"/>
    <s v="HSA 6930_x000a_Pro Seminar Hlth Mgt 2021"/>
    <s v="9/32"/>
    <n v="32"/>
    <n v="9"/>
    <s v="Online"/>
    <x v="3"/>
    <n v="0.77800000000000002"/>
    <n v="0"/>
    <n v="0.222"/>
    <n v="0"/>
    <n v="0"/>
    <n v="4.556"/>
    <x v="1"/>
    <n v="0.77800000000000002"/>
  </r>
  <r>
    <x v="3"/>
    <x v="8"/>
    <s v="Spring 2021"/>
    <x v="2"/>
    <s v="HSA 6930_x000a_Pro Seminar Hlth Mgt 2021"/>
    <s v="9/32"/>
    <n v="32"/>
    <n v="9"/>
    <s v="Online"/>
    <x v="4"/>
    <n v="0.66700000000000004"/>
    <n v="0"/>
    <n v="0.33300000000000002"/>
    <n v="0"/>
    <n v="0"/>
    <n v="4.3339999999999996"/>
    <x v="1"/>
    <n v="0.66700000000000004"/>
  </r>
  <r>
    <x v="3"/>
    <x v="8"/>
    <s v="Spring 2021"/>
    <x v="2"/>
    <s v="HSA 6930_x000a_Pro Seminar Hlth Mgt 2021"/>
    <s v="9/32"/>
    <n v="32"/>
    <n v="9"/>
    <s v="Online"/>
    <x v="5"/>
    <n v="0.77800000000000002"/>
    <n v="0"/>
    <n v="0.222"/>
    <n v="0"/>
    <n v="0"/>
    <n v="4.556"/>
    <x v="1"/>
    <n v="0.77800000000000002"/>
  </r>
  <r>
    <x v="3"/>
    <x v="8"/>
    <s v="Spring 2021"/>
    <x v="2"/>
    <s v="HSA 6930_x000a_Pro Seminar Hlth Mgt 2021"/>
    <s v="9/32"/>
    <n v="32"/>
    <n v="9"/>
    <s v="Online"/>
    <x v="6"/>
    <n v="0.88900000000000001"/>
    <n v="0"/>
    <n v="0.111"/>
    <n v="0"/>
    <n v="0"/>
    <n v="4.7780000000000005"/>
    <x v="1"/>
    <n v="0.88900000000000001"/>
  </r>
  <r>
    <x v="3"/>
    <x v="8"/>
    <s v="Spring 2021"/>
    <x v="2"/>
    <s v="HSA 6717_x000a_Adv Hlth Mgt Res Sem 2021"/>
    <s v="9/32"/>
    <n v="32"/>
    <n v="9"/>
    <s v="Online"/>
    <x v="7"/>
    <n v="0.66700000000000004"/>
    <n v="0.111"/>
    <n v="0.222"/>
    <n v="0"/>
    <n v="0"/>
    <n v="4.4450000000000003"/>
    <x v="1"/>
    <n v="0.77800000000000002"/>
  </r>
  <r>
    <x v="4"/>
    <x v="9"/>
    <s v="Summer 2020"/>
    <x v="1"/>
    <s v="HSA 6717_x000a_Adv Hlth Mgt Res Sem 2020"/>
    <s v="4/7"/>
    <n v="7"/>
    <n v="4"/>
    <s v="Biscayne Bay"/>
    <x v="0"/>
    <n v="0.5"/>
    <n v="0.25"/>
    <n v="0"/>
    <n v="0.25"/>
    <n v="0"/>
    <n v="4"/>
    <x v="0"/>
    <n v="0.75"/>
  </r>
  <r>
    <x v="4"/>
    <x v="9"/>
    <s v="Summer 2020"/>
    <x v="1"/>
    <s v="HSA 6717_x000a_Adv Hlth Mgt Res Sem 2020"/>
    <s v="4/7"/>
    <n v="7"/>
    <n v="4"/>
    <s v="Biscayne Bay"/>
    <x v="1"/>
    <n v="0.5"/>
    <n v="0.25"/>
    <n v="0"/>
    <n v="0.25"/>
    <n v="0"/>
    <n v="4"/>
    <x v="0"/>
    <n v="0.75"/>
  </r>
  <r>
    <x v="4"/>
    <x v="9"/>
    <s v="Summer 2020"/>
    <x v="1"/>
    <s v="HSA 6717_x000a_Adv Hlth Mgt Res Sem 2020"/>
    <s v="4/7"/>
    <n v="7"/>
    <n v="4"/>
    <s v="Biscayne Bay"/>
    <x v="2"/>
    <n v="0.5"/>
    <n v="0.25"/>
    <n v="0"/>
    <n v="0.25"/>
    <n v="0"/>
    <n v="4"/>
    <x v="0"/>
    <n v="0.75"/>
  </r>
  <r>
    <x v="4"/>
    <x v="9"/>
    <s v="Summer 2020"/>
    <x v="1"/>
    <s v="HSA 6717_x000a_Adv Hlth Mgt Res Sem 2020"/>
    <s v="4/7"/>
    <n v="7"/>
    <n v="4"/>
    <s v="Biscayne Bay"/>
    <x v="3"/>
    <n v="0.5"/>
    <n v="0"/>
    <n v="0.25"/>
    <n v="0.25"/>
    <n v="0"/>
    <n v="3.75"/>
    <x v="0"/>
    <n v="0.5"/>
  </r>
  <r>
    <x v="4"/>
    <x v="9"/>
    <s v="Summer 2020"/>
    <x v="1"/>
    <s v="HSA 6717_x000a_Adv Hlth Mgt Res Sem 2020"/>
    <s v="4/7"/>
    <n v="7"/>
    <n v="4"/>
    <s v="Biscayne Bay"/>
    <x v="4"/>
    <n v="0.5"/>
    <n v="0.25"/>
    <n v="0"/>
    <n v="0.25"/>
    <n v="0"/>
    <n v="4"/>
    <x v="0"/>
    <n v="0.75"/>
  </r>
  <r>
    <x v="4"/>
    <x v="9"/>
    <s v="Summer 2020"/>
    <x v="1"/>
    <s v="HSA 6717_x000a_Adv Hlth Mgt Res Sem 2020"/>
    <s v="4/7"/>
    <n v="7"/>
    <n v="4"/>
    <s v="Biscayne Bay"/>
    <x v="5"/>
    <n v="0.5"/>
    <n v="0"/>
    <n v="0.25"/>
    <n v="0.25"/>
    <n v="0"/>
    <n v="3.75"/>
    <x v="0"/>
    <n v="0.5"/>
  </r>
  <r>
    <x v="4"/>
    <x v="9"/>
    <s v="Summer 2020"/>
    <x v="1"/>
    <s v="HSA 6717_x000a_Adv Hlth Mgt Res Sem 2020"/>
    <s v="4/7"/>
    <n v="7"/>
    <n v="4"/>
    <s v="Biscayne Bay"/>
    <x v="6"/>
    <n v="0.75"/>
    <n v="0"/>
    <n v="0"/>
    <n v="0.25"/>
    <n v="0"/>
    <n v="4.25"/>
    <x v="1"/>
    <n v="0.75"/>
  </r>
  <r>
    <x v="4"/>
    <x v="9"/>
    <s v="Summer 2020"/>
    <x v="1"/>
    <s v="HSA 6717_x000a_Adv Hlth Mgt Res Sem 2020"/>
    <s v="4/7"/>
    <n v="7"/>
    <n v="4"/>
    <s v="Biscayne Bay"/>
    <x v="7"/>
    <n v="0.5"/>
    <n v="0.25"/>
    <n v="0"/>
    <n v="0.25"/>
    <n v="0"/>
    <n v="4"/>
    <x v="0"/>
    <n v="0.75"/>
  </r>
  <r>
    <x v="4"/>
    <x v="9"/>
    <s v="Summer 2020"/>
    <x v="1"/>
    <s v="HSA 6717_x000a_Adv Hlth Mgt Res Sem 2020"/>
    <s v="12/22"/>
    <n v="22"/>
    <n v="12"/>
    <s v="Online"/>
    <x v="0"/>
    <n v="0.58299999999999996"/>
    <n v="0.16700000000000001"/>
    <n v="0.25"/>
    <n v="0"/>
    <n v="0"/>
    <n v="4.3330000000000002"/>
    <x v="1"/>
    <n v="0.75"/>
  </r>
  <r>
    <x v="4"/>
    <x v="9"/>
    <s v="Summer 2020"/>
    <x v="1"/>
    <s v="HSA 6717_x000a_Adv Hlth Mgt Res Sem 2020"/>
    <s v="12/22"/>
    <n v="22"/>
    <n v="12"/>
    <s v="Online"/>
    <x v="1"/>
    <n v="0.58299999999999996"/>
    <n v="8.3000000000000004E-2"/>
    <n v="0.33300000000000002"/>
    <n v="0"/>
    <n v="0"/>
    <n v="4.2460000000000004"/>
    <x v="1"/>
    <n v="0.66599999999999993"/>
  </r>
  <r>
    <x v="4"/>
    <x v="9"/>
    <s v="Summer 2020"/>
    <x v="1"/>
    <s v="HSA 6717_x000a_Adv Hlth Mgt Res Sem 2020"/>
    <s v="12/22"/>
    <n v="22"/>
    <n v="12"/>
    <s v="Online"/>
    <x v="2"/>
    <n v="0.58299999999999996"/>
    <n v="8.3000000000000004E-2"/>
    <n v="0.33300000000000002"/>
    <n v="0"/>
    <n v="0"/>
    <n v="4.2460000000000004"/>
    <x v="1"/>
    <n v="0.66599999999999993"/>
  </r>
  <r>
    <x v="4"/>
    <x v="9"/>
    <s v="Summer 2020"/>
    <x v="1"/>
    <s v="HSA 6717_x000a_Adv Hlth Mgt Res Sem 2020"/>
    <s v="12/22"/>
    <n v="22"/>
    <n v="12"/>
    <s v="Online"/>
    <x v="3"/>
    <n v="0.5"/>
    <n v="0.16700000000000001"/>
    <n v="0.33300000000000002"/>
    <n v="0"/>
    <n v="0"/>
    <n v="4.1669999999999998"/>
    <x v="1"/>
    <n v="0.66700000000000004"/>
  </r>
  <r>
    <x v="4"/>
    <x v="9"/>
    <s v="Summer 2020"/>
    <x v="1"/>
    <s v="HSA 6717_x000a_Adv Hlth Mgt Res Sem 2020"/>
    <s v="12/22"/>
    <n v="22"/>
    <n v="12"/>
    <s v="Online"/>
    <x v="4"/>
    <n v="0.5"/>
    <n v="8.3000000000000004E-2"/>
    <n v="0.41699999999999998"/>
    <n v="0"/>
    <n v="0"/>
    <n v="4.0830000000000002"/>
    <x v="1"/>
    <n v="0.58299999999999996"/>
  </r>
  <r>
    <x v="4"/>
    <x v="9"/>
    <s v="Summer 2020"/>
    <x v="1"/>
    <s v="HSA 6717_x000a_Adv Hlth Mgt Res Sem 2020"/>
    <s v="12/22"/>
    <n v="22"/>
    <n v="12"/>
    <s v="Online"/>
    <x v="5"/>
    <n v="0.66700000000000004"/>
    <n v="8.3000000000000004E-2"/>
    <n v="0.25"/>
    <n v="0"/>
    <n v="0"/>
    <n v="4.4169999999999998"/>
    <x v="1"/>
    <n v="0.75"/>
  </r>
  <r>
    <x v="4"/>
    <x v="9"/>
    <s v="Summer 2020"/>
    <x v="1"/>
    <s v="HSA 6717_x000a_Adv Hlth Mgt Res Sem 2020"/>
    <s v="12/22"/>
    <n v="22"/>
    <n v="12"/>
    <s v="Online"/>
    <x v="6"/>
    <n v="0.5"/>
    <n v="0.25"/>
    <n v="0.25"/>
    <n v="0"/>
    <n v="0"/>
    <n v="4.25"/>
    <x v="1"/>
    <n v="0.75"/>
  </r>
  <r>
    <x v="4"/>
    <x v="9"/>
    <s v="Summer 2020"/>
    <x v="1"/>
    <s v="HSA 6930_x000a_Pro Seminar Hlth Mgt 2020"/>
    <s v="12/22"/>
    <n v="22"/>
    <n v="12"/>
    <s v="Online"/>
    <x v="7"/>
    <n v="0.58299999999999996"/>
    <n v="0.16700000000000001"/>
    <n v="0.25"/>
    <n v="0"/>
    <n v="0"/>
    <n v="4.3330000000000002"/>
    <x v="1"/>
    <n v="0.75"/>
  </r>
  <r>
    <x v="4"/>
    <x v="9"/>
    <s v="Summer 2020"/>
    <x v="2"/>
    <s v="HSA 6930_x000a_Pro Seminar Hlth Mgt 2020"/>
    <s v="3/8"/>
    <n v="8"/>
    <n v="3"/>
    <s v="Biscayne Bay"/>
    <x v="0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1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2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3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4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5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6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3/8"/>
    <n v="8"/>
    <n v="3"/>
    <s v="Biscayne Bay"/>
    <x v="7"/>
    <n v="0.66700000000000004"/>
    <n v="0"/>
    <n v="0"/>
    <n v="0.33300000000000002"/>
    <n v="0"/>
    <n v="4.0010000000000003"/>
    <x v="1"/>
    <n v="0.66700000000000004"/>
  </r>
  <r>
    <x v="4"/>
    <x v="9"/>
    <s v="Summer 2020"/>
    <x v="2"/>
    <s v="HSA 6930_x000a_Pro Seminar Hlth Mgt 2020"/>
    <s v="11/21"/>
    <n v="21"/>
    <n v="11"/>
    <s v="Online"/>
    <x v="0"/>
    <n v="0.63600000000000001"/>
    <n v="9.0999999999999998E-2"/>
    <n v="0.182"/>
    <n v="0"/>
    <n v="9.0999999999999998E-2"/>
    <n v="4.181"/>
    <x v="1"/>
    <n v="0.72699999999999998"/>
  </r>
  <r>
    <x v="4"/>
    <x v="9"/>
    <s v="Summer 2020"/>
    <x v="2"/>
    <s v="HSA 6930_x000a_Pro Seminar Hlth Mgt 2020"/>
    <s v="11/21"/>
    <n v="21"/>
    <n v="11"/>
    <s v="Online"/>
    <x v="1"/>
    <n v="0.54500000000000004"/>
    <n v="0.182"/>
    <n v="0.27300000000000002"/>
    <n v="0"/>
    <n v="0"/>
    <n v="4.2720000000000002"/>
    <x v="1"/>
    <n v="0.72700000000000009"/>
  </r>
  <r>
    <x v="4"/>
    <x v="9"/>
    <s v="Summer 2020"/>
    <x v="2"/>
    <s v="HSA 6930_x000a_Pro Seminar Hlth Mgt 2020"/>
    <s v="11/21"/>
    <n v="21"/>
    <n v="11"/>
    <s v="Online"/>
    <x v="2"/>
    <n v="0.63600000000000001"/>
    <n v="9.0999999999999998E-2"/>
    <n v="0.27300000000000002"/>
    <n v="0"/>
    <n v="0"/>
    <n v="4.3630000000000004"/>
    <x v="1"/>
    <n v="0.72699999999999998"/>
  </r>
  <r>
    <x v="4"/>
    <x v="9"/>
    <s v="Summer 2020"/>
    <x v="2"/>
    <s v="HSA 6930_x000a_Pro Seminar Hlth Mgt 2020"/>
    <s v="11/21"/>
    <n v="21"/>
    <n v="11"/>
    <s v="Online"/>
    <x v="3"/>
    <n v="0.63600000000000001"/>
    <n v="9.0999999999999998E-2"/>
    <n v="0.27300000000000002"/>
    <n v="0"/>
    <n v="0"/>
    <n v="4.3630000000000004"/>
    <x v="1"/>
    <n v="0.72699999999999998"/>
  </r>
  <r>
    <x v="4"/>
    <x v="9"/>
    <s v="Summer 2020"/>
    <x v="2"/>
    <s v="HSA 6930_x000a_Pro Seminar Hlth Mgt 2020"/>
    <s v="11/21"/>
    <n v="21"/>
    <n v="11"/>
    <s v="Online"/>
    <x v="4"/>
    <n v="0.54500000000000004"/>
    <n v="0.182"/>
    <n v="0.27300000000000002"/>
    <n v="0"/>
    <n v="0"/>
    <n v="4.2720000000000002"/>
    <x v="1"/>
    <n v="0.72700000000000009"/>
  </r>
  <r>
    <x v="4"/>
    <x v="9"/>
    <s v="Summer 2020"/>
    <x v="2"/>
    <s v="HSA 6930_x000a_Pro Seminar Hlth Mgt 2020"/>
    <s v="11/21"/>
    <n v="21"/>
    <n v="11"/>
    <s v="Online"/>
    <x v="5"/>
    <n v="0.63600000000000001"/>
    <n v="9.0999999999999998E-2"/>
    <n v="0.27300000000000002"/>
    <n v="0"/>
    <n v="0"/>
    <n v="4.3630000000000004"/>
    <x v="1"/>
    <n v="0.72699999999999998"/>
  </r>
  <r>
    <x v="4"/>
    <x v="9"/>
    <s v="Summer 2020"/>
    <x v="2"/>
    <s v="HSA 6930_x000a_Pro Seminar Hlth Mgt 2020"/>
    <s v="11/21"/>
    <n v="21"/>
    <n v="11"/>
    <s v="Online"/>
    <x v="6"/>
    <n v="0.54500000000000004"/>
    <n v="0.27300000000000002"/>
    <n v="0.182"/>
    <n v="0"/>
    <n v="0"/>
    <n v="4.3630000000000004"/>
    <x v="1"/>
    <n v="0.81800000000000006"/>
  </r>
  <r>
    <x v="4"/>
    <x v="9"/>
    <s v="Summer 2020"/>
    <x v="2"/>
    <s v="HSA 6175_x000a_Fin Mgt Hlth Sys 2020"/>
    <s v="11/21"/>
    <n v="21"/>
    <n v="11"/>
    <s v="Online"/>
    <x v="7"/>
    <n v="0.54500000000000004"/>
    <n v="0.182"/>
    <n v="0.27300000000000002"/>
    <n v="0"/>
    <n v="0"/>
    <n v="4.2720000000000002"/>
    <x v="1"/>
    <n v="0.72700000000000009"/>
  </r>
  <r>
    <x v="4"/>
    <x v="10"/>
    <s v="Spring 2020"/>
    <x v="3"/>
    <s v="HSA 6175_x000a_Fin Mgt Hlth Sys 2020"/>
    <s v="11/12"/>
    <n v="12"/>
    <n v="11"/>
    <s v="Biscayne Bay"/>
    <x v="0"/>
    <n v="0.182"/>
    <n v="0"/>
    <n v="0.27300000000000002"/>
    <n v="0.27300000000000002"/>
    <n v="0.27300000000000002"/>
    <n v="2.5480000000000005"/>
    <x v="2"/>
    <n v="0.182"/>
  </r>
  <r>
    <x v="4"/>
    <x v="10"/>
    <s v="Spring 2020"/>
    <x v="3"/>
    <s v="HSA 6175_x000a_Fin Mgt Hlth Sys 2020"/>
    <s v="11/12"/>
    <n v="12"/>
    <n v="11"/>
    <s v="Biscayne Bay"/>
    <x v="1"/>
    <n v="9.0999999999999998E-2"/>
    <n v="0"/>
    <n v="0.27300000000000002"/>
    <n v="0.45500000000000002"/>
    <n v="0.182"/>
    <n v="2.3660000000000001"/>
    <x v="2"/>
    <n v="9.0999999999999998E-2"/>
  </r>
  <r>
    <x v="4"/>
    <x v="10"/>
    <s v="Spring 2020"/>
    <x v="3"/>
    <s v="HSA 6175_x000a_Fin Mgt Hlth Sys 2020"/>
    <s v="11/12"/>
    <n v="12"/>
    <n v="11"/>
    <s v="Biscayne Bay"/>
    <x v="2"/>
    <n v="9.0999999999999998E-2"/>
    <n v="0"/>
    <n v="0"/>
    <n v="0.27300000000000002"/>
    <n v="0.63600000000000001"/>
    <n v="1.637"/>
    <x v="3"/>
    <n v="9.0999999999999998E-2"/>
  </r>
  <r>
    <x v="4"/>
    <x v="10"/>
    <s v="Spring 2020"/>
    <x v="3"/>
    <s v="HSA 6175_x000a_Fin Mgt Hlth Sys 2020"/>
    <s v="11/12"/>
    <n v="12"/>
    <n v="11"/>
    <s v="Biscayne Bay"/>
    <x v="3"/>
    <n v="9.0999999999999998E-2"/>
    <n v="0"/>
    <n v="9.0999999999999998E-2"/>
    <n v="0.45500000000000002"/>
    <n v="0.36399999999999999"/>
    <n v="2.0019999999999998"/>
    <x v="2"/>
    <n v="9.0999999999999998E-2"/>
  </r>
  <r>
    <x v="4"/>
    <x v="10"/>
    <s v="Spring 2020"/>
    <x v="3"/>
    <s v="HSA 6175_x000a_Fin Mgt Hlth Sys 2020"/>
    <s v="11/12"/>
    <n v="12"/>
    <n v="11"/>
    <s v="Biscayne Bay"/>
    <x v="4"/>
    <n v="9.0999999999999998E-2"/>
    <n v="0"/>
    <n v="9.0999999999999998E-2"/>
    <n v="0.27300000000000002"/>
    <n v="0.54500000000000004"/>
    <n v="1.819"/>
    <x v="3"/>
    <n v="9.0999999999999998E-2"/>
  </r>
  <r>
    <x v="4"/>
    <x v="10"/>
    <s v="Spring 2020"/>
    <x v="3"/>
    <s v="HSA 6175_x000a_Fin Mgt Hlth Sys 2020"/>
    <s v="11/12"/>
    <n v="12"/>
    <n v="11"/>
    <s v="Biscayne Bay"/>
    <x v="5"/>
    <n v="0.27300000000000002"/>
    <n v="0"/>
    <n v="0.36399999999999999"/>
    <n v="0.182"/>
    <n v="0.182"/>
    <n v="3.0030000000000001"/>
    <x v="0"/>
    <n v="0.27300000000000002"/>
  </r>
  <r>
    <x v="4"/>
    <x v="10"/>
    <s v="Spring 2020"/>
    <x v="3"/>
    <s v="HSA 6175_x000a_Fin Mgt Hlth Sys 2020"/>
    <s v="11/12"/>
    <n v="12"/>
    <n v="11"/>
    <s v="Biscayne Bay"/>
    <x v="6"/>
    <n v="0.27300000000000002"/>
    <n v="0"/>
    <n v="0.36399999999999999"/>
    <n v="0.182"/>
    <n v="0.182"/>
    <n v="3.0030000000000001"/>
    <x v="0"/>
    <n v="0.27300000000000002"/>
  </r>
  <r>
    <x v="4"/>
    <x v="10"/>
    <s v="Spring 2020"/>
    <x v="3"/>
    <s v="HSA 6717_x000a_Adv Hlth Mgt Res Sem 2020"/>
    <s v="11/12"/>
    <n v="12"/>
    <n v="11"/>
    <s v="Biscayne Bay"/>
    <x v="7"/>
    <n v="9.0999999999999998E-2"/>
    <n v="0"/>
    <n v="9.0999999999999998E-2"/>
    <n v="0.27300000000000002"/>
    <n v="0.45500000000000002"/>
    <n v="1.7290000000000001"/>
    <x v="3"/>
    <n v="9.0999999999999998E-2"/>
  </r>
  <r>
    <x v="4"/>
    <x v="10"/>
    <s v="Spring 2020"/>
    <x v="1"/>
    <s v="HSA 6717_x000a_Adv Hlth Mgt Res Sem 2020"/>
    <s v="19/21"/>
    <n v="21"/>
    <n v="19"/>
    <s v="Biscayne Bay"/>
    <x v="0"/>
    <n v="0.316"/>
    <n v="0.42099999999999999"/>
    <n v="0.26300000000000001"/>
    <n v="0"/>
    <n v="0"/>
    <n v="4.0529999999999999"/>
    <x v="1"/>
    <n v="0.73699999999999999"/>
  </r>
  <r>
    <x v="4"/>
    <x v="10"/>
    <s v="Spring 2020"/>
    <x v="1"/>
    <s v="HSA 6717_x000a_Adv Hlth Mgt Res Sem 2020"/>
    <s v="19/21"/>
    <n v="21"/>
    <n v="19"/>
    <s v="Biscayne Bay"/>
    <x v="1"/>
    <n v="0.316"/>
    <n v="0.42099999999999999"/>
    <n v="0.26300000000000001"/>
    <n v="0"/>
    <n v="0"/>
    <n v="4.0529999999999999"/>
    <x v="1"/>
    <n v="0.73699999999999999"/>
  </r>
  <r>
    <x v="4"/>
    <x v="10"/>
    <s v="Spring 2020"/>
    <x v="1"/>
    <s v="HSA 6717_x000a_Adv Hlth Mgt Res Sem 2020"/>
    <s v="19/21"/>
    <n v="21"/>
    <n v="19"/>
    <s v="Biscayne Bay"/>
    <x v="2"/>
    <n v="0.21099999999999999"/>
    <n v="0.316"/>
    <n v="0.26300000000000001"/>
    <n v="0.158"/>
    <n v="5.2999999999999999E-2"/>
    <n v="3.4769999999999999"/>
    <x v="0"/>
    <n v="0.52700000000000002"/>
  </r>
  <r>
    <x v="4"/>
    <x v="10"/>
    <s v="Spring 2020"/>
    <x v="1"/>
    <s v="HSA 6717_x000a_Adv Hlth Mgt Res Sem 2020"/>
    <s v="19/21"/>
    <n v="21"/>
    <n v="19"/>
    <s v="Biscayne Bay"/>
    <x v="3"/>
    <n v="0.316"/>
    <n v="0.21099999999999999"/>
    <n v="0.316"/>
    <n v="0.105"/>
    <n v="0"/>
    <n v="3.5819999999999999"/>
    <x v="0"/>
    <n v="0.52700000000000002"/>
  </r>
  <r>
    <x v="4"/>
    <x v="10"/>
    <s v="Spring 2020"/>
    <x v="1"/>
    <s v="HSA 6717_x000a_Adv Hlth Mgt Res Sem 2020"/>
    <s v="19/21"/>
    <n v="21"/>
    <n v="19"/>
    <s v="Biscayne Bay"/>
    <x v="4"/>
    <n v="0.21099999999999999"/>
    <n v="0.316"/>
    <n v="0.316"/>
    <n v="0.105"/>
    <n v="0"/>
    <n v="3.4769999999999999"/>
    <x v="0"/>
    <n v="0.52700000000000002"/>
  </r>
  <r>
    <x v="4"/>
    <x v="10"/>
    <s v="Spring 2020"/>
    <x v="1"/>
    <s v="HSA 6717_x000a_Adv Hlth Mgt Res Sem 2020"/>
    <s v="19/21"/>
    <n v="21"/>
    <n v="19"/>
    <s v="Biscayne Bay"/>
    <x v="5"/>
    <n v="0.47399999999999998"/>
    <n v="0.316"/>
    <n v="0.158"/>
    <n v="0"/>
    <n v="5.2999999999999999E-2"/>
    <n v="4.1610000000000005"/>
    <x v="1"/>
    <n v="0.79"/>
  </r>
  <r>
    <x v="4"/>
    <x v="10"/>
    <s v="Spring 2020"/>
    <x v="1"/>
    <s v="HSA 6717_x000a_Adv Hlth Mgt Res Sem 2020"/>
    <s v="19/21"/>
    <n v="21"/>
    <n v="19"/>
    <s v="Biscayne Bay"/>
    <x v="6"/>
    <n v="0.36799999999999999"/>
    <n v="0.36799999999999999"/>
    <n v="0.21099999999999999"/>
    <n v="0"/>
    <n v="0"/>
    <n v="3.9449999999999998"/>
    <x v="0"/>
    <n v="0.73599999999999999"/>
  </r>
  <r>
    <x v="4"/>
    <x v="10"/>
    <s v="Spring 2020"/>
    <x v="1"/>
    <s v="HSA 6717_x000a_Adv Hlth Mgt Res Sem 2020"/>
    <s v="19/21"/>
    <n v="21"/>
    <n v="19"/>
    <s v="Biscayne Bay"/>
    <x v="7"/>
    <n v="0.26300000000000001"/>
    <n v="0.42099999999999999"/>
    <n v="0.21099999999999999"/>
    <n v="5.2999999999999999E-2"/>
    <n v="0"/>
    <n v="3.7379999999999995"/>
    <x v="0"/>
    <n v="0.68399999999999994"/>
  </r>
  <r>
    <x v="4"/>
    <x v="10"/>
    <s v="Spring 2020"/>
    <x v="1"/>
    <s v="HSA 6717_x000a_Adv Hlth Mgt Res Sem 2020"/>
    <s v="25/26"/>
    <n v="26"/>
    <n v="25"/>
    <s v="Online"/>
    <x v="0"/>
    <n v="0.24"/>
    <n v="0.24"/>
    <n v="0.4"/>
    <n v="0"/>
    <n v="0.12"/>
    <n v="3.4800000000000004"/>
    <x v="0"/>
    <n v="0.48"/>
  </r>
  <r>
    <x v="4"/>
    <x v="10"/>
    <s v="Spring 2020"/>
    <x v="1"/>
    <s v="HSA 6717_x000a_Adv Hlth Mgt Res Sem 2020"/>
    <s v="25/26"/>
    <n v="26"/>
    <n v="25"/>
    <s v="Online"/>
    <x v="1"/>
    <n v="0.2"/>
    <n v="0.32"/>
    <n v="0.32"/>
    <n v="0.12"/>
    <n v="0.04"/>
    <n v="3.5200000000000005"/>
    <x v="0"/>
    <n v="0.52"/>
  </r>
  <r>
    <x v="4"/>
    <x v="10"/>
    <s v="Spring 2020"/>
    <x v="1"/>
    <s v="HSA 6717_x000a_Adv Hlth Mgt Res Sem 2020"/>
    <s v="25/26"/>
    <n v="26"/>
    <n v="25"/>
    <s v="Online"/>
    <x v="2"/>
    <n v="0.32"/>
    <n v="0.08"/>
    <n v="0.32"/>
    <n v="0.04"/>
    <n v="0.24"/>
    <n v="3.2"/>
    <x v="0"/>
    <n v="0.4"/>
  </r>
  <r>
    <x v="4"/>
    <x v="10"/>
    <s v="Spring 2020"/>
    <x v="1"/>
    <s v="HSA 6717_x000a_Adv Hlth Mgt Res Sem 2020"/>
    <s v="25/26"/>
    <n v="26"/>
    <n v="25"/>
    <s v="Online"/>
    <x v="3"/>
    <n v="0.28000000000000003"/>
    <n v="0.16"/>
    <n v="0.24"/>
    <n v="0.04"/>
    <n v="0.28000000000000003"/>
    <n v="3.12"/>
    <x v="0"/>
    <n v="0.44000000000000006"/>
  </r>
  <r>
    <x v="4"/>
    <x v="10"/>
    <s v="Spring 2020"/>
    <x v="1"/>
    <s v="HSA 6717_x000a_Adv Hlth Mgt Res Sem 2020"/>
    <s v="25/26"/>
    <n v="26"/>
    <n v="25"/>
    <s v="Online"/>
    <x v="4"/>
    <n v="0.28000000000000003"/>
    <n v="0.16"/>
    <n v="0.2"/>
    <n v="0.12"/>
    <n v="0.2"/>
    <n v="3.08"/>
    <x v="0"/>
    <n v="0.44000000000000006"/>
  </r>
  <r>
    <x v="4"/>
    <x v="10"/>
    <s v="Spring 2020"/>
    <x v="1"/>
    <s v="HSA 6717_x000a_Adv Hlth Mgt Res Sem 2020"/>
    <s v="25/26"/>
    <n v="26"/>
    <n v="25"/>
    <s v="Online"/>
    <x v="5"/>
    <n v="0.4"/>
    <n v="0.12"/>
    <n v="0.12"/>
    <n v="0.16"/>
    <n v="0.2"/>
    <n v="3.36"/>
    <x v="0"/>
    <n v="0.52"/>
  </r>
  <r>
    <x v="4"/>
    <x v="10"/>
    <s v="Spring 2020"/>
    <x v="1"/>
    <s v="HSA 6717_x000a_Adv Hlth Mgt Res Sem 2020"/>
    <s v="25/26"/>
    <n v="26"/>
    <n v="25"/>
    <s v="Online"/>
    <x v="6"/>
    <n v="0.36"/>
    <n v="0.24"/>
    <n v="0.12"/>
    <n v="0.08"/>
    <n v="0.16"/>
    <n v="3.44"/>
    <x v="0"/>
    <n v="0.6"/>
  </r>
  <r>
    <x v="4"/>
    <x v="10"/>
    <s v="Spring 2020"/>
    <x v="1"/>
    <s v="HSA 6930_x000a_Pro Seminar Hlth Mgt 2020"/>
    <s v="25/26"/>
    <n v="26"/>
    <n v="25"/>
    <s v="Online"/>
    <x v="7"/>
    <n v="0.2"/>
    <n v="0.24"/>
    <n v="0.24"/>
    <n v="0.16"/>
    <n v="0.16"/>
    <n v="3.1599999999999997"/>
    <x v="0"/>
    <n v="0.44"/>
  </r>
  <r>
    <x v="4"/>
    <x v="10"/>
    <s v="Spring 2020"/>
    <x v="2"/>
    <s v="HSA 6930_x000a_Pro Seminar Hlth Mgt 2020"/>
    <s v="19/21"/>
    <n v="21"/>
    <n v="19"/>
    <s v="Biscayne Bay"/>
    <x v="0"/>
    <n v="0.52600000000000002"/>
    <n v="0.21099999999999999"/>
    <n v="0.26300000000000001"/>
    <n v="0"/>
    <n v="0"/>
    <n v="4.2629999999999999"/>
    <x v="1"/>
    <n v="0.73699999999999999"/>
  </r>
  <r>
    <x v="4"/>
    <x v="10"/>
    <s v="Spring 2020"/>
    <x v="2"/>
    <s v="HSA 6930_x000a_Pro Seminar Hlth Mgt 2020"/>
    <s v="19/21"/>
    <n v="21"/>
    <n v="19"/>
    <s v="Biscayne Bay"/>
    <x v="1"/>
    <n v="0.47399999999999998"/>
    <n v="0.26300000000000001"/>
    <n v="0.26300000000000001"/>
    <n v="0"/>
    <n v="0"/>
    <n v="4.2110000000000003"/>
    <x v="1"/>
    <n v="0.73699999999999999"/>
  </r>
  <r>
    <x v="4"/>
    <x v="10"/>
    <s v="Spring 2020"/>
    <x v="2"/>
    <s v="HSA 6930_x000a_Pro Seminar Hlth Mgt 2020"/>
    <s v="19/21"/>
    <n v="21"/>
    <n v="19"/>
    <s v="Biscayne Bay"/>
    <x v="2"/>
    <n v="0.36799999999999999"/>
    <n v="0.36799999999999999"/>
    <n v="0.26300000000000001"/>
    <n v="0"/>
    <n v="0"/>
    <n v="4.101"/>
    <x v="1"/>
    <n v="0.73599999999999999"/>
  </r>
  <r>
    <x v="4"/>
    <x v="10"/>
    <s v="Spring 2020"/>
    <x v="2"/>
    <s v="HSA 6930_x000a_Pro Seminar Hlth Mgt 2020"/>
    <s v="19/21"/>
    <n v="21"/>
    <n v="19"/>
    <s v="Biscayne Bay"/>
    <x v="3"/>
    <n v="0.36799999999999999"/>
    <n v="0.316"/>
    <n v="0.26300000000000001"/>
    <n v="5.2999999999999999E-2"/>
    <n v="0"/>
    <n v="3.9990000000000001"/>
    <x v="0"/>
    <n v="0.68399999999999994"/>
  </r>
  <r>
    <x v="4"/>
    <x v="10"/>
    <s v="Spring 2020"/>
    <x v="2"/>
    <s v="HSA 6930_x000a_Pro Seminar Hlth Mgt 2020"/>
    <s v="19/21"/>
    <n v="21"/>
    <n v="19"/>
    <s v="Biscayne Bay"/>
    <x v="4"/>
    <n v="0.36799999999999999"/>
    <n v="0.316"/>
    <n v="0.26300000000000001"/>
    <n v="5.2999999999999999E-2"/>
    <n v="0"/>
    <n v="3.9990000000000001"/>
    <x v="0"/>
    <n v="0.68399999999999994"/>
  </r>
  <r>
    <x v="4"/>
    <x v="10"/>
    <s v="Spring 2020"/>
    <x v="2"/>
    <s v="HSA 6930_x000a_Pro Seminar Hlth Mgt 2020"/>
    <s v="19/21"/>
    <n v="21"/>
    <n v="19"/>
    <s v="Biscayne Bay"/>
    <x v="5"/>
    <n v="0.52600000000000002"/>
    <n v="0.26300000000000001"/>
    <n v="0.158"/>
    <n v="5.2999999999999999E-2"/>
    <n v="0"/>
    <n v="4.2619999999999996"/>
    <x v="1"/>
    <n v="0.78900000000000003"/>
  </r>
  <r>
    <x v="4"/>
    <x v="10"/>
    <s v="Spring 2020"/>
    <x v="2"/>
    <s v="HSA 6930_x000a_Pro Seminar Hlth Mgt 2020"/>
    <s v="19/21"/>
    <n v="21"/>
    <n v="19"/>
    <s v="Biscayne Bay"/>
    <x v="6"/>
    <n v="0.47399999999999998"/>
    <n v="0.26300000000000001"/>
    <n v="0.26300000000000001"/>
    <n v="0"/>
    <n v="0"/>
    <n v="4.2110000000000003"/>
    <x v="1"/>
    <n v="0.73699999999999999"/>
  </r>
  <r>
    <x v="4"/>
    <x v="10"/>
    <s v="Spring 2020"/>
    <x v="2"/>
    <s v="HSA 6930_x000a_Pro Seminar Hlth Mgt 2020"/>
    <s v="19/21"/>
    <n v="21"/>
    <n v="19"/>
    <s v="Biscayne Bay"/>
    <x v="7"/>
    <n v="0.42099999999999999"/>
    <n v="0.36799999999999999"/>
    <n v="0.158"/>
    <n v="5.2999999999999999E-2"/>
    <n v="0"/>
    <n v="4.157"/>
    <x v="1"/>
    <n v="0.78899999999999992"/>
  </r>
  <r>
    <x v="4"/>
    <x v="10"/>
    <s v="Spring 2020"/>
    <x v="2"/>
    <s v="HSA 6930_x000a_Pro Seminar Hlth Mgt 2020"/>
    <s v="23/27"/>
    <n v="27"/>
    <n v="23"/>
    <s v="Online"/>
    <x v="0"/>
    <n v="0.39100000000000001"/>
    <n v="0.217"/>
    <n v="0.26100000000000001"/>
    <n v="4.2999999999999997E-2"/>
    <n v="8.6999999999999994E-2"/>
    <n v="3.7789999999999999"/>
    <x v="0"/>
    <n v="0.60799999999999998"/>
  </r>
  <r>
    <x v="4"/>
    <x v="10"/>
    <s v="Spring 2020"/>
    <x v="2"/>
    <s v="HSA 6930_x000a_Pro Seminar Hlth Mgt 2020"/>
    <s v="23/27"/>
    <n v="27"/>
    <n v="23"/>
    <s v="Online"/>
    <x v="1"/>
    <n v="0.34799999999999998"/>
    <n v="0.30399999999999999"/>
    <n v="0.26100000000000001"/>
    <n v="4.2999999999999997E-2"/>
    <n v="4.2999999999999997E-2"/>
    <n v="3.8679999999999994"/>
    <x v="0"/>
    <n v="0.65199999999999991"/>
  </r>
  <r>
    <x v="4"/>
    <x v="10"/>
    <s v="Spring 2020"/>
    <x v="2"/>
    <s v="HSA 6930_x000a_Pro Seminar Hlth Mgt 2020"/>
    <s v="23/27"/>
    <n v="27"/>
    <n v="23"/>
    <s v="Online"/>
    <x v="2"/>
    <n v="0.30399999999999999"/>
    <n v="0.26100000000000001"/>
    <n v="0.17399999999999999"/>
    <n v="4.2999999999999997E-2"/>
    <n v="0.217"/>
    <n v="3.3890000000000002"/>
    <x v="0"/>
    <n v="0.56499999999999995"/>
  </r>
  <r>
    <x v="4"/>
    <x v="10"/>
    <s v="Spring 2020"/>
    <x v="2"/>
    <s v="HSA 6930_x000a_Pro Seminar Hlth Mgt 2020"/>
    <s v="23/27"/>
    <n v="27"/>
    <n v="23"/>
    <s v="Online"/>
    <x v="3"/>
    <n v="0.30399999999999999"/>
    <n v="0.26100000000000001"/>
    <n v="0.13"/>
    <n v="8.6999999999999994E-2"/>
    <n v="0.217"/>
    <n v="3.3450000000000002"/>
    <x v="0"/>
    <n v="0.56499999999999995"/>
  </r>
  <r>
    <x v="4"/>
    <x v="10"/>
    <s v="Spring 2020"/>
    <x v="2"/>
    <s v="HSA 6930_x000a_Pro Seminar Hlth Mgt 2020"/>
    <s v="23/27"/>
    <n v="27"/>
    <n v="23"/>
    <s v="Online"/>
    <x v="4"/>
    <n v="0.26100000000000001"/>
    <n v="0.26100000000000001"/>
    <n v="0.217"/>
    <n v="4.2999999999999997E-2"/>
    <n v="0.17399999999999999"/>
    <n v="3.26"/>
    <x v="0"/>
    <n v="0.52200000000000002"/>
  </r>
  <r>
    <x v="4"/>
    <x v="10"/>
    <s v="Spring 2020"/>
    <x v="2"/>
    <s v="HSA 6930_x000a_Pro Seminar Hlth Mgt 2020"/>
    <s v="23/27"/>
    <n v="27"/>
    <n v="23"/>
    <s v="Online"/>
    <x v="5"/>
    <n v="0.30399999999999999"/>
    <n v="0.26100000000000001"/>
    <n v="0.13"/>
    <n v="0.13"/>
    <n v="0.17399999999999999"/>
    <n v="3.3880000000000003"/>
    <x v="0"/>
    <n v="0.56499999999999995"/>
  </r>
  <r>
    <x v="4"/>
    <x v="10"/>
    <s v="Spring 2020"/>
    <x v="2"/>
    <s v="HSA 6930_x000a_Pro Seminar Hlth Mgt 2020"/>
    <s v="23/27"/>
    <n v="27"/>
    <n v="23"/>
    <s v="Online"/>
    <x v="6"/>
    <n v="0.34799999999999998"/>
    <n v="0.30399999999999999"/>
    <n v="0.13"/>
    <n v="0.13"/>
    <n v="8.6999999999999994E-2"/>
    <n v="3.6930000000000001"/>
    <x v="0"/>
    <n v="0.65199999999999991"/>
  </r>
  <r>
    <x v="4"/>
    <x v="10"/>
    <s v="Spring 2020"/>
    <x v="2"/>
    <s v="HSA 5655_x000a_Eth Dec Hlth Admin 2020"/>
    <s v="23/27"/>
    <n v="27"/>
    <n v="23"/>
    <s v="Online"/>
    <x v="7"/>
    <n v="0.30399999999999999"/>
    <n v="0.26100000000000001"/>
    <n v="0.217"/>
    <n v="0.13"/>
    <n v="8.6999999999999994E-2"/>
    <n v="3.5619999999999998"/>
    <x v="0"/>
    <n v="0.56499999999999995"/>
  </r>
  <r>
    <x v="5"/>
    <x v="11"/>
    <s v="Fall 2019"/>
    <x v="4"/>
    <s v="HSA 5655_x000a_Eth Dec Hlth Admin 2019"/>
    <s v="7/23"/>
    <n v="23"/>
    <n v="7"/>
    <s v="Online"/>
    <x v="0"/>
    <n v="0.71399999999999997"/>
    <n v="0.14299999999999999"/>
    <n v="0.14299999999999999"/>
    <n v="0"/>
    <n v="0"/>
    <n v="4.5709999999999997"/>
    <x v="1"/>
    <n v="0.85699999999999998"/>
  </r>
  <r>
    <x v="5"/>
    <x v="11"/>
    <s v="Fall 2019"/>
    <x v="4"/>
    <s v="HSA 5655_x000a_Eth Dec Hlth Admin 2019"/>
    <s v="7/23"/>
    <n v="23"/>
    <n v="7"/>
    <s v="Online"/>
    <x v="1"/>
    <n v="0.71399999999999997"/>
    <n v="0.14299999999999999"/>
    <n v="0.14299999999999999"/>
    <n v="0"/>
    <n v="0"/>
    <n v="4.5709999999999997"/>
    <x v="1"/>
    <n v="0.85699999999999998"/>
  </r>
  <r>
    <x v="5"/>
    <x v="11"/>
    <s v="Fall 2019"/>
    <x v="4"/>
    <s v="HSA 5655_x000a_Eth Dec Hlth Admin 2019"/>
    <s v="7/23"/>
    <n v="23"/>
    <n v="7"/>
    <s v="Online"/>
    <x v="2"/>
    <n v="0.57099999999999995"/>
    <n v="0.28599999999999998"/>
    <n v="0.14299999999999999"/>
    <n v="0"/>
    <n v="0"/>
    <n v="4.4279999999999999"/>
    <x v="1"/>
    <n v="0.85699999999999998"/>
  </r>
  <r>
    <x v="5"/>
    <x v="11"/>
    <s v="Fall 2019"/>
    <x v="4"/>
    <s v="HSA 5655_x000a_Eth Dec Hlth Admin 2019"/>
    <s v="7/23"/>
    <n v="23"/>
    <n v="7"/>
    <s v="Online"/>
    <x v="3"/>
    <n v="0.57099999999999995"/>
    <n v="0.28599999999999998"/>
    <n v="0.14299999999999999"/>
    <n v="0"/>
    <n v="0"/>
    <n v="4.4279999999999999"/>
    <x v="1"/>
    <n v="0.85699999999999998"/>
  </r>
  <r>
    <x v="5"/>
    <x v="11"/>
    <s v="Fall 2019"/>
    <x v="4"/>
    <s v="HSA 5655_x000a_Eth Dec Hlth Admin 2019"/>
    <s v="7/23"/>
    <n v="23"/>
    <n v="7"/>
    <s v="Online"/>
    <x v="4"/>
    <n v="0.42899999999999999"/>
    <n v="0.28599999999999998"/>
    <n v="0.28599999999999998"/>
    <n v="0"/>
    <n v="0"/>
    <n v="4.1469999999999994"/>
    <x v="1"/>
    <n v="0.71499999999999997"/>
  </r>
  <r>
    <x v="5"/>
    <x v="11"/>
    <s v="Fall 2019"/>
    <x v="4"/>
    <s v="HSA 5655_x000a_Eth Dec Hlth Admin 2019"/>
    <s v="7/23"/>
    <n v="23"/>
    <n v="7"/>
    <s v="Online"/>
    <x v="5"/>
    <n v="0.57099999999999995"/>
    <n v="0.14299999999999999"/>
    <n v="0.28599999999999998"/>
    <n v="0"/>
    <n v="0"/>
    <n v="4.2849999999999993"/>
    <x v="1"/>
    <n v="0.71399999999999997"/>
  </r>
  <r>
    <x v="5"/>
    <x v="11"/>
    <s v="Fall 2019"/>
    <x v="4"/>
    <s v="HSA 5655_x000a_Eth Dec Hlth Admin 2019"/>
    <s v="7/23"/>
    <n v="23"/>
    <n v="7"/>
    <s v="Online"/>
    <x v="6"/>
    <n v="0.71399999999999997"/>
    <n v="0.14299999999999999"/>
    <n v="0.14299999999999999"/>
    <n v="0"/>
    <n v="0"/>
    <n v="4.5709999999999997"/>
    <x v="1"/>
    <n v="0.85699999999999998"/>
  </r>
  <r>
    <x v="5"/>
    <x v="11"/>
    <s v="Fall 2019"/>
    <x v="4"/>
    <s v="HSA 6717_x000a_Adv Hlth Mgt Res Sem 2019"/>
    <s v="7/23"/>
    <n v="23"/>
    <n v="7"/>
    <s v="Online"/>
    <x v="7"/>
    <n v="0.57099999999999995"/>
    <n v="0.14299999999999999"/>
    <n v="0.28599999999999998"/>
    <n v="0"/>
    <n v="0"/>
    <n v="4.2849999999999993"/>
    <x v="1"/>
    <n v="0.71399999999999997"/>
  </r>
  <r>
    <x v="5"/>
    <x v="12"/>
    <s v="Summer 2019"/>
    <x v="1"/>
    <s v="HSA 6717_x000a_Adv Hlth Mgt Res Sem 2019"/>
    <s v="10/18"/>
    <n v="18"/>
    <n v="10"/>
    <s v="Biscayne Bay"/>
    <x v="0"/>
    <n v="0.1"/>
    <n v="0.3"/>
    <n v="0.3"/>
    <n v="0.1"/>
    <n v="0.2"/>
    <n v="3"/>
    <x v="2"/>
    <n v="0.4"/>
  </r>
  <r>
    <x v="5"/>
    <x v="12"/>
    <s v="Summer 2019"/>
    <x v="1"/>
    <s v="HSA 6717_x000a_Adv Hlth Mgt Res Sem 2019"/>
    <s v="10/18"/>
    <n v="18"/>
    <n v="10"/>
    <s v="Biscayne Bay"/>
    <x v="1"/>
    <n v="0.3"/>
    <n v="0.2"/>
    <n v="0.4"/>
    <n v="0"/>
    <n v="0.1"/>
    <n v="3.6"/>
    <x v="0"/>
    <n v="0.5"/>
  </r>
  <r>
    <x v="5"/>
    <x v="12"/>
    <s v="Summer 2019"/>
    <x v="1"/>
    <s v="HSA 6717_x000a_Adv Hlth Mgt Res Sem 2019"/>
    <s v="10/18"/>
    <n v="18"/>
    <n v="10"/>
    <s v="Biscayne Bay"/>
    <x v="2"/>
    <n v="0.1"/>
    <n v="0.1"/>
    <n v="0.3"/>
    <n v="0.3"/>
    <n v="0.2"/>
    <n v="2.6"/>
    <x v="2"/>
    <n v="0.2"/>
  </r>
  <r>
    <x v="5"/>
    <x v="12"/>
    <s v="Summer 2019"/>
    <x v="1"/>
    <s v="HSA 6717_x000a_Adv Hlth Mgt Res Sem 2019"/>
    <s v="10/18"/>
    <n v="18"/>
    <n v="10"/>
    <s v="Biscayne Bay"/>
    <x v="3"/>
    <n v="0.1"/>
    <n v="0.2"/>
    <n v="0.6"/>
    <n v="0.1"/>
    <n v="0"/>
    <n v="3.3"/>
    <x v="0"/>
    <n v="0.30000000000000004"/>
  </r>
  <r>
    <x v="5"/>
    <x v="12"/>
    <s v="Summer 2019"/>
    <x v="1"/>
    <s v="HSA 6717_x000a_Adv Hlth Mgt Res Sem 2019"/>
    <s v="10/18"/>
    <n v="18"/>
    <n v="10"/>
    <s v="Biscayne Bay"/>
    <x v="4"/>
    <n v="0.2"/>
    <n v="0.2"/>
    <n v="0.4"/>
    <n v="0"/>
    <n v="0.2"/>
    <n v="3.2"/>
    <x v="0"/>
    <n v="0.4"/>
  </r>
  <r>
    <x v="5"/>
    <x v="12"/>
    <s v="Summer 2019"/>
    <x v="1"/>
    <s v="HSA 6717_x000a_Adv Hlth Mgt Res Sem 2019"/>
    <s v="10/18"/>
    <n v="18"/>
    <n v="10"/>
    <s v="Biscayne Bay"/>
    <x v="5"/>
    <n v="0.2"/>
    <n v="0.2"/>
    <n v="0"/>
    <n v="0.6"/>
    <n v="0"/>
    <n v="3"/>
    <x v="2"/>
    <n v="0.4"/>
  </r>
  <r>
    <x v="5"/>
    <x v="12"/>
    <s v="Summer 2019"/>
    <x v="1"/>
    <s v="HSA 6717_x000a_Adv Hlth Mgt Res Sem 2019"/>
    <s v="10/18"/>
    <n v="18"/>
    <n v="10"/>
    <s v="Biscayne Bay"/>
    <x v="6"/>
    <n v="0.2"/>
    <n v="0.2"/>
    <n v="0.3"/>
    <n v="0.1"/>
    <n v="0.2"/>
    <n v="3.1000000000000005"/>
    <x v="0"/>
    <n v="0.4"/>
  </r>
  <r>
    <x v="5"/>
    <x v="12"/>
    <s v="Summer 2019"/>
    <x v="1"/>
    <s v="HSA 6717_x000a_Adv Hlth Mgt Res Sem 2019"/>
    <s v="10/18"/>
    <n v="18"/>
    <n v="10"/>
    <s v="Biscayne Bay"/>
    <x v="7"/>
    <n v="0.1"/>
    <n v="0.2"/>
    <n v="0.2"/>
    <n v="0.2"/>
    <n v="0.2"/>
    <n v="2.5000000000000004"/>
    <x v="2"/>
    <n v="0.30000000000000004"/>
  </r>
  <r>
    <x v="5"/>
    <x v="12"/>
    <s v="Summer 2019"/>
    <x v="1"/>
    <s v="HSA 6717_x000a_Adv Hlth Mgt Res Sem 2019"/>
    <s v="9/19"/>
    <n v="19"/>
    <n v="9"/>
    <s v="Online"/>
    <x v="0"/>
    <n v="0.111"/>
    <n v="0.33300000000000002"/>
    <n v="0.111"/>
    <n v="0.111"/>
    <n v="0.33300000000000002"/>
    <n v="2.7750000000000004"/>
    <x v="2"/>
    <n v="0.44400000000000001"/>
  </r>
  <r>
    <x v="5"/>
    <x v="12"/>
    <s v="Summer 2019"/>
    <x v="1"/>
    <s v="HSA 6717_x000a_Adv Hlth Mgt Res Sem 2019"/>
    <s v="9/19"/>
    <n v="19"/>
    <n v="9"/>
    <s v="Online"/>
    <x v="1"/>
    <n v="0.222"/>
    <n v="0.33300000000000002"/>
    <n v="0"/>
    <n v="0.111"/>
    <n v="0.33300000000000002"/>
    <n v="2.9970000000000003"/>
    <x v="2"/>
    <n v="0.55500000000000005"/>
  </r>
  <r>
    <x v="5"/>
    <x v="12"/>
    <s v="Summer 2019"/>
    <x v="1"/>
    <s v="HSA 6717_x000a_Adv Hlth Mgt Res Sem 2019"/>
    <s v="9/19"/>
    <n v="19"/>
    <n v="9"/>
    <s v="Online"/>
    <x v="2"/>
    <n v="0.33300000000000002"/>
    <n v="0.111"/>
    <n v="0.111"/>
    <n v="0.111"/>
    <n v="0.33300000000000002"/>
    <n v="2.9970000000000003"/>
    <x v="2"/>
    <n v="0.44400000000000001"/>
  </r>
  <r>
    <x v="5"/>
    <x v="12"/>
    <s v="Summer 2019"/>
    <x v="1"/>
    <s v="HSA 6717_x000a_Adv Hlth Mgt Res Sem 2019"/>
    <s v="9/19"/>
    <n v="19"/>
    <n v="9"/>
    <s v="Online"/>
    <x v="3"/>
    <n v="0.222"/>
    <n v="0.222"/>
    <n v="0.111"/>
    <n v="0"/>
    <n v="0.44400000000000001"/>
    <n v="2.7750000000000004"/>
    <x v="2"/>
    <n v="0.44400000000000001"/>
  </r>
  <r>
    <x v="5"/>
    <x v="12"/>
    <s v="Summer 2019"/>
    <x v="1"/>
    <s v="HSA 6717_x000a_Adv Hlth Mgt Res Sem 2019"/>
    <s v="9/19"/>
    <n v="19"/>
    <n v="9"/>
    <s v="Online"/>
    <x v="4"/>
    <n v="0.222"/>
    <n v="0.222"/>
    <n v="0.111"/>
    <n v="0"/>
    <n v="0.44400000000000001"/>
    <n v="2.7750000000000004"/>
    <x v="2"/>
    <n v="0.44400000000000001"/>
  </r>
  <r>
    <x v="5"/>
    <x v="12"/>
    <s v="Summer 2019"/>
    <x v="1"/>
    <s v="HSA 6717_x000a_Adv Hlth Mgt Res Sem 2019"/>
    <s v="9/19"/>
    <n v="19"/>
    <n v="9"/>
    <s v="Online"/>
    <x v="5"/>
    <n v="0.222"/>
    <n v="0.111"/>
    <n v="0.222"/>
    <n v="0.111"/>
    <n v="0.33300000000000002"/>
    <n v="2.7750000000000004"/>
    <x v="2"/>
    <n v="0.33300000000000002"/>
  </r>
  <r>
    <x v="5"/>
    <x v="12"/>
    <s v="Summer 2019"/>
    <x v="1"/>
    <s v="HSA 6717_x000a_Adv Hlth Mgt Res Sem 2019"/>
    <s v="9/19"/>
    <n v="19"/>
    <n v="9"/>
    <s v="Online"/>
    <x v="6"/>
    <n v="0.33300000000000002"/>
    <n v="0.111"/>
    <n v="0.111"/>
    <n v="0.111"/>
    <n v="0.33300000000000002"/>
    <n v="2.9970000000000003"/>
    <x v="2"/>
    <n v="0.44400000000000001"/>
  </r>
  <r>
    <x v="5"/>
    <x v="12"/>
    <s v="Summer 2019"/>
    <x v="1"/>
    <s v="HSA 6930_x000a_Pro Seminar Hlth Mgt 2019"/>
    <s v="9/19"/>
    <n v="19"/>
    <n v="9"/>
    <s v="Online"/>
    <x v="7"/>
    <n v="0.111"/>
    <n v="0.33300000000000002"/>
    <n v="0.111"/>
    <n v="0"/>
    <n v="0.44400000000000001"/>
    <n v="2.6640000000000001"/>
    <x v="2"/>
    <n v="0.44400000000000001"/>
  </r>
  <r>
    <x v="5"/>
    <x v="12"/>
    <s v="Summer 2019"/>
    <x v="2"/>
    <s v="HSA 6930_x000a_Pro Seminar Hlth Mgt 2019"/>
    <s v="6/18"/>
    <n v="18"/>
    <n v="6"/>
    <s v="Biscayne Bay"/>
    <x v="0"/>
    <n v="0.5"/>
    <n v="0.16700000000000001"/>
    <n v="0.16700000000000001"/>
    <n v="0"/>
    <n v="0"/>
    <n v="3.669"/>
    <x v="0"/>
    <n v="0.66700000000000004"/>
  </r>
  <r>
    <x v="5"/>
    <x v="12"/>
    <s v="Summer 2019"/>
    <x v="2"/>
    <s v="HSA 6930_x000a_Pro Seminar Hlth Mgt 2019"/>
    <s v="6/18"/>
    <n v="18"/>
    <n v="6"/>
    <s v="Biscayne Bay"/>
    <x v="1"/>
    <n v="0.33300000000000002"/>
    <n v="0.33300000000000002"/>
    <n v="0.16700000000000001"/>
    <n v="0"/>
    <n v="0"/>
    <n v="3.4979999999999998"/>
    <x v="0"/>
    <n v="0.66600000000000004"/>
  </r>
  <r>
    <x v="5"/>
    <x v="12"/>
    <s v="Summer 2019"/>
    <x v="2"/>
    <s v="HSA 6930_x000a_Pro Seminar Hlth Mgt 2019"/>
    <s v="6/18"/>
    <n v="18"/>
    <n v="6"/>
    <s v="Biscayne Bay"/>
    <x v="2"/>
    <n v="0.33300000000000002"/>
    <n v="0.16700000000000001"/>
    <n v="0.33300000000000002"/>
    <n v="0"/>
    <n v="0"/>
    <n v="3.3320000000000003"/>
    <x v="0"/>
    <n v="0.5"/>
  </r>
  <r>
    <x v="5"/>
    <x v="12"/>
    <s v="Summer 2019"/>
    <x v="2"/>
    <s v="HSA 6930_x000a_Pro Seminar Hlth Mgt 2019"/>
    <s v="6/18"/>
    <n v="18"/>
    <n v="6"/>
    <s v="Biscayne Bay"/>
    <x v="3"/>
    <n v="0.16700000000000001"/>
    <n v="0.33300000000000002"/>
    <n v="0.33300000000000002"/>
    <n v="0"/>
    <n v="0"/>
    <n v="3.1660000000000004"/>
    <x v="0"/>
    <n v="0.5"/>
  </r>
  <r>
    <x v="5"/>
    <x v="12"/>
    <s v="Summer 2019"/>
    <x v="2"/>
    <s v="HSA 6930_x000a_Pro Seminar Hlth Mgt 2019"/>
    <s v="6/18"/>
    <n v="18"/>
    <n v="6"/>
    <s v="Biscayne Bay"/>
    <x v="4"/>
    <n v="0.16700000000000001"/>
    <n v="0.5"/>
    <n v="0.16700000000000001"/>
    <n v="0"/>
    <n v="0"/>
    <n v="3.3359999999999999"/>
    <x v="0"/>
    <n v="0.66700000000000004"/>
  </r>
  <r>
    <x v="5"/>
    <x v="12"/>
    <s v="Summer 2019"/>
    <x v="2"/>
    <s v="HSA 6930_x000a_Pro Seminar Hlth Mgt 2019"/>
    <s v="6/18"/>
    <n v="18"/>
    <n v="6"/>
    <s v="Biscayne Bay"/>
    <x v="5"/>
    <n v="0.16700000000000001"/>
    <n v="0.33300000000000002"/>
    <n v="0.16700000000000001"/>
    <n v="0.16700000000000001"/>
    <n v="0"/>
    <n v="3.0020000000000002"/>
    <x v="0"/>
    <n v="0.5"/>
  </r>
  <r>
    <x v="5"/>
    <x v="12"/>
    <s v="Summer 2019"/>
    <x v="2"/>
    <s v="HSA 6930_x000a_Pro Seminar Hlth Mgt 2019"/>
    <s v="6/18"/>
    <n v="18"/>
    <n v="6"/>
    <s v="Biscayne Bay"/>
    <x v="6"/>
    <n v="0.33300000000000002"/>
    <n v="0.16700000000000001"/>
    <n v="0.33300000000000002"/>
    <n v="0"/>
    <n v="0"/>
    <n v="3.3320000000000003"/>
    <x v="0"/>
    <n v="0.5"/>
  </r>
  <r>
    <x v="5"/>
    <x v="12"/>
    <s v="Summer 2019"/>
    <x v="2"/>
    <s v="HSA 6930_x000a_Pro Seminar Hlth Mgt 2019"/>
    <s v="6/18"/>
    <n v="18"/>
    <n v="6"/>
    <s v="Biscayne Bay"/>
    <x v="7"/>
    <n v="0.16700000000000001"/>
    <n v="0.5"/>
    <n v="0.16700000000000001"/>
    <n v="0"/>
    <n v="0"/>
    <n v="3.3359999999999999"/>
    <x v="0"/>
    <n v="0.66700000000000004"/>
  </r>
  <r>
    <x v="5"/>
    <x v="12"/>
    <s v="Summer 2019"/>
    <x v="2"/>
    <s v="HSA 6930_x000a_Pro Seminar Hlth Mgt 2019"/>
    <s v="8/19"/>
    <n v="19"/>
    <n v="8"/>
    <s v="Online"/>
    <x v="0"/>
    <n v="0.5"/>
    <n v="0.125"/>
    <n v="0.125"/>
    <n v="0.125"/>
    <n v="0.125"/>
    <n v="3.75"/>
    <x v="0"/>
    <n v="0.625"/>
  </r>
  <r>
    <x v="5"/>
    <x v="12"/>
    <s v="Summer 2019"/>
    <x v="2"/>
    <s v="HSA 6930_x000a_Pro Seminar Hlth Mgt 2019"/>
    <s v="8/19"/>
    <n v="19"/>
    <n v="8"/>
    <s v="Online"/>
    <x v="1"/>
    <n v="0.625"/>
    <n v="0"/>
    <n v="0"/>
    <n v="0.25"/>
    <n v="0.125"/>
    <n v="3.75"/>
    <x v="0"/>
    <n v="0.625"/>
  </r>
  <r>
    <x v="5"/>
    <x v="12"/>
    <s v="Summer 2019"/>
    <x v="2"/>
    <s v="HSA 6930_x000a_Pro Seminar Hlth Mgt 2019"/>
    <s v="8/19"/>
    <n v="19"/>
    <n v="8"/>
    <s v="Online"/>
    <x v="2"/>
    <n v="0.5"/>
    <n v="0.125"/>
    <n v="0"/>
    <n v="0.125"/>
    <n v="0.25"/>
    <n v="3.5"/>
    <x v="0"/>
    <n v="0.625"/>
  </r>
  <r>
    <x v="5"/>
    <x v="12"/>
    <s v="Summer 2019"/>
    <x v="2"/>
    <s v="HSA 6930_x000a_Pro Seminar Hlth Mgt 2019"/>
    <s v="8/19"/>
    <n v="19"/>
    <n v="8"/>
    <s v="Online"/>
    <x v="3"/>
    <n v="0.375"/>
    <n v="0.125"/>
    <n v="0.125"/>
    <n v="0"/>
    <n v="0.375"/>
    <n v="3.125"/>
    <x v="0"/>
    <n v="0.5"/>
  </r>
  <r>
    <x v="5"/>
    <x v="12"/>
    <s v="Summer 2019"/>
    <x v="2"/>
    <s v="HSA 6930_x000a_Pro Seminar Hlth Mgt 2019"/>
    <s v="8/19"/>
    <n v="19"/>
    <n v="8"/>
    <s v="Online"/>
    <x v="4"/>
    <n v="0.5"/>
    <n v="0.125"/>
    <n v="0"/>
    <n v="0"/>
    <n v="0.375"/>
    <n v="3.375"/>
    <x v="0"/>
    <n v="0.625"/>
  </r>
  <r>
    <x v="5"/>
    <x v="12"/>
    <s v="Summer 2019"/>
    <x v="2"/>
    <s v="HSA 6930_x000a_Pro Seminar Hlth Mgt 2019"/>
    <s v="8/19"/>
    <n v="19"/>
    <n v="8"/>
    <s v="Online"/>
    <x v="5"/>
    <n v="0.5"/>
    <n v="0"/>
    <n v="0.125"/>
    <n v="0.25"/>
    <n v="0.125"/>
    <n v="3.5"/>
    <x v="0"/>
    <n v="0.5"/>
  </r>
  <r>
    <x v="5"/>
    <x v="12"/>
    <s v="Summer 2019"/>
    <x v="2"/>
    <s v="HSA 6930_x000a_Pro Seminar Hlth Mgt 2019"/>
    <s v="8/19"/>
    <n v="19"/>
    <n v="8"/>
    <s v="Online"/>
    <x v="6"/>
    <n v="0.5"/>
    <n v="0"/>
    <n v="0.125"/>
    <n v="0.125"/>
    <n v="0.25"/>
    <n v="3.375"/>
    <x v="0"/>
    <n v="0.5"/>
  </r>
  <r>
    <x v="5"/>
    <x v="12"/>
    <s v="Summer 2019"/>
    <x v="2"/>
    <s v="HSA 6175_x000a_Fin Mgt Hlth Sys 2019"/>
    <s v="8/19"/>
    <n v="19"/>
    <n v="8"/>
    <s v="Online"/>
    <x v="7"/>
    <n v="0.5"/>
    <n v="0"/>
    <n v="0.125"/>
    <n v="0"/>
    <n v="0.375"/>
    <n v="3.25"/>
    <x v="0"/>
    <n v="0.5"/>
  </r>
  <r>
    <x v="5"/>
    <x v="13"/>
    <s v="Spring 2019"/>
    <x v="3"/>
    <s v="HSA 6175_x000a_Fin Mgt Hlth Sys 2019"/>
    <s v="11/23"/>
    <n v="23"/>
    <n v="11"/>
    <s v="Biscayne Bay"/>
    <x v="0"/>
    <n v="0.182"/>
    <n v="0.182"/>
    <n v="0.54500000000000004"/>
    <n v="9.0999999999999998E-2"/>
    <n v="0"/>
    <n v="3.4550000000000001"/>
    <x v="0"/>
    <n v="0.36399999999999999"/>
  </r>
  <r>
    <x v="5"/>
    <x v="13"/>
    <s v="Spring 2019"/>
    <x v="3"/>
    <s v="HSA 6175_x000a_Fin Mgt Hlth Sys 2019"/>
    <s v="11/23"/>
    <n v="23"/>
    <n v="11"/>
    <s v="Biscayne Bay"/>
    <x v="1"/>
    <n v="0.182"/>
    <n v="0.36399999999999999"/>
    <n v="0.27300000000000002"/>
    <n v="9.0999999999999998E-2"/>
    <n v="9.0999999999999998E-2"/>
    <n v="3.4579999999999997"/>
    <x v="0"/>
    <n v="0.54600000000000004"/>
  </r>
  <r>
    <x v="5"/>
    <x v="13"/>
    <s v="Spring 2019"/>
    <x v="3"/>
    <s v="HSA 6175_x000a_Fin Mgt Hlth Sys 2019"/>
    <s v="11/23"/>
    <n v="23"/>
    <n v="11"/>
    <s v="Biscayne Bay"/>
    <x v="2"/>
    <n v="9.0999999999999998E-2"/>
    <n v="9.0999999999999998E-2"/>
    <n v="0.36399999999999999"/>
    <n v="0.45500000000000002"/>
    <n v="0"/>
    <n v="2.8210000000000002"/>
    <x v="2"/>
    <n v="0.182"/>
  </r>
  <r>
    <x v="5"/>
    <x v="13"/>
    <s v="Spring 2019"/>
    <x v="3"/>
    <s v="HSA 6175_x000a_Fin Mgt Hlth Sys 2019"/>
    <s v="11/23"/>
    <n v="23"/>
    <n v="11"/>
    <s v="Biscayne Bay"/>
    <x v="3"/>
    <n v="9.0999999999999998E-2"/>
    <n v="9.0999999999999998E-2"/>
    <n v="0.45500000000000002"/>
    <n v="0.182"/>
    <n v="0.182"/>
    <n v="2.73"/>
    <x v="2"/>
    <n v="0.182"/>
  </r>
  <r>
    <x v="5"/>
    <x v="13"/>
    <s v="Spring 2019"/>
    <x v="3"/>
    <s v="HSA 6175_x000a_Fin Mgt Hlth Sys 2019"/>
    <s v="11/23"/>
    <n v="23"/>
    <n v="11"/>
    <s v="Biscayne Bay"/>
    <x v="4"/>
    <n v="0.182"/>
    <n v="9.0999999999999998E-2"/>
    <n v="0.45500000000000002"/>
    <n v="9.0999999999999998E-2"/>
    <n v="0.182"/>
    <n v="3.0030000000000001"/>
    <x v="0"/>
    <n v="0.27300000000000002"/>
  </r>
  <r>
    <x v="5"/>
    <x v="13"/>
    <s v="Spring 2019"/>
    <x v="3"/>
    <s v="HSA 6175_x000a_Fin Mgt Hlth Sys 2019"/>
    <s v="11/23"/>
    <n v="23"/>
    <n v="11"/>
    <s v="Biscayne Bay"/>
    <x v="5"/>
    <n v="0.182"/>
    <n v="0.182"/>
    <n v="0.27300000000000002"/>
    <n v="0.182"/>
    <n v="9.0999999999999998E-2"/>
    <n v="2.9119999999999999"/>
    <x v="2"/>
    <n v="0.36399999999999999"/>
  </r>
  <r>
    <x v="5"/>
    <x v="13"/>
    <s v="Spring 2019"/>
    <x v="3"/>
    <s v="HSA 6175_x000a_Fin Mgt Hlth Sys 2019"/>
    <s v="11/23"/>
    <n v="23"/>
    <n v="11"/>
    <s v="Biscayne Bay"/>
    <x v="6"/>
    <n v="0.36399999999999999"/>
    <n v="9.0999999999999998E-2"/>
    <n v="0.36399999999999999"/>
    <n v="9.0999999999999998E-2"/>
    <n v="9.0999999999999998E-2"/>
    <n v="3.5489999999999999"/>
    <x v="0"/>
    <n v="0.45499999999999996"/>
  </r>
  <r>
    <x v="5"/>
    <x v="13"/>
    <s v="Spring 2019"/>
    <x v="3"/>
    <s v="HSA 6187_x000a_Mgt HR Hlth Prof 2019"/>
    <s v="11/23"/>
    <n v="23"/>
    <n v="11"/>
    <s v="Biscayne Bay"/>
    <x v="7"/>
    <n v="9.0999999999999998E-2"/>
    <n v="0.182"/>
    <n v="0.36399999999999999"/>
    <n v="0.27300000000000002"/>
    <n v="9.0999999999999998E-2"/>
    <n v="2.9119999999999999"/>
    <x v="2"/>
    <n v="0.27300000000000002"/>
  </r>
  <r>
    <x v="5"/>
    <x v="13"/>
    <s v="Spring 2019"/>
    <x v="5"/>
    <s v="HSA 6187_x000a_Mgt HR Hlth Prof 2019"/>
    <s v="7/19"/>
    <n v="19"/>
    <n v="7"/>
    <s v="Online"/>
    <x v="0"/>
    <n v="0.57099999999999995"/>
    <n v="0.28599999999999998"/>
    <n v="0"/>
    <n v="0.14299999999999999"/>
    <n v="0"/>
    <n v="4.2849999999999993"/>
    <x v="1"/>
    <n v="0.85699999999999998"/>
  </r>
  <r>
    <x v="5"/>
    <x v="13"/>
    <s v="Spring 2019"/>
    <x v="5"/>
    <s v="HSA 6187_x000a_Mgt HR Hlth Prof 2019"/>
    <s v="7/19"/>
    <n v="19"/>
    <n v="7"/>
    <s v="Online"/>
    <x v="1"/>
    <n v="0.71399999999999997"/>
    <n v="0.14299999999999999"/>
    <n v="0"/>
    <n v="0.14299999999999999"/>
    <n v="0"/>
    <n v="4.427999999999999"/>
    <x v="1"/>
    <n v="0.85699999999999998"/>
  </r>
  <r>
    <x v="5"/>
    <x v="13"/>
    <s v="Spring 2019"/>
    <x v="5"/>
    <s v="HSA 6187_x000a_Mgt HR Hlth Prof 2019"/>
    <s v="7/19"/>
    <n v="19"/>
    <n v="7"/>
    <s v="Online"/>
    <x v="2"/>
    <n v="0.57099999999999995"/>
    <n v="0.14299999999999999"/>
    <n v="0.14299999999999999"/>
    <n v="0.14299999999999999"/>
    <n v="0"/>
    <n v="4.1419999999999995"/>
    <x v="1"/>
    <n v="0.71399999999999997"/>
  </r>
  <r>
    <x v="5"/>
    <x v="13"/>
    <s v="Spring 2019"/>
    <x v="5"/>
    <s v="HSA 6187_x000a_Mgt HR Hlth Prof 2019"/>
    <s v="7/19"/>
    <n v="19"/>
    <n v="7"/>
    <s v="Online"/>
    <x v="3"/>
    <n v="0.57099999999999995"/>
    <n v="0.14299999999999999"/>
    <n v="0.14299999999999999"/>
    <n v="0.14299999999999999"/>
    <n v="0"/>
    <n v="4.1419999999999995"/>
    <x v="1"/>
    <n v="0.71399999999999997"/>
  </r>
  <r>
    <x v="5"/>
    <x v="13"/>
    <s v="Spring 2019"/>
    <x v="5"/>
    <s v="HSA 6187_x000a_Mgt HR Hlth Prof 2019"/>
    <s v="7/19"/>
    <n v="19"/>
    <n v="7"/>
    <s v="Online"/>
    <x v="4"/>
    <n v="0.57099999999999995"/>
    <n v="0.14299999999999999"/>
    <n v="0.14299999999999999"/>
    <n v="0.14299999999999999"/>
    <n v="0"/>
    <n v="4.1419999999999995"/>
    <x v="1"/>
    <n v="0.71399999999999997"/>
  </r>
  <r>
    <x v="5"/>
    <x v="13"/>
    <s v="Spring 2019"/>
    <x v="5"/>
    <s v="HSA 6187_x000a_Mgt HR Hlth Prof 2019"/>
    <s v="7/19"/>
    <n v="19"/>
    <n v="7"/>
    <s v="Online"/>
    <x v="5"/>
    <n v="0.57099999999999995"/>
    <n v="0.14299999999999999"/>
    <n v="0.14299999999999999"/>
    <n v="0.14299999999999999"/>
    <n v="0"/>
    <n v="4.1419999999999995"/>
    <x v="1"/>
    <n v="0.71399999999999997"/>
  </r>
  <r>
    <x v="5"/>
    <x v="13"/>
    <s v="Spring 2019"/>
    <x v="5"/>
    <s v="HSA 6187_x000a_Mgt HR Hlth Prof 2019"/>
    <s v="7/19"/>
    <n v="19"/>
    <n v="7"/>
    <s v="Online"/>
    <x v="6"/>
    <n v="0.57099999999999995"/>
    <n v="0.14299999999999999"/>
    <n v="0.14299999999999999"/>
    <n v="0.14299999999999999"/>
    <n v="0"/>
    <n v="4.1419999999999995"/>
    <x v="1"/>
    <n v="0.71399999999999997"/>
  </r>
  <r>
    <x v="5"/>
    <x v="13"/>
    <s v="Spring 2019"/>
    <x v="5"/>
    <s v="HSA 6717_x000a_Adv Hlth Mgt Res Sem 2019"/>
    <s v="7/19"/>
    <n v="19"/>
    <n v="7"/>
    <s v="Online"/>
    <x v="7"/>
    <n v="0.57099999999999995"/>
    <n v="0.28599999999999998"/>
    <n v="0"/>
    <n v="0"/>
    <n v="0.14299999999999999"/>
    <n v="4.1419999999999995"/>
    <x v="1"/>
    <n v="0.85699999999999998"/>
  </r>
  <r>
    <x v="5"/>
    <x v="13"/>
    <s v="Spring 2019"/>
    <x v="1"/>
    <s v="HSA 6717_x000a_Adv Hlth Mgt Res Sem 2019"/>
    <s v="15/23"/>
    <n v="23"/>
    <n v="15"/>
    <s v="Biscayne Bay"/>
    <x v="0"/>
    <n v="0"/>
    <n v="0.13300000000000001"/>
    <n v="6.7000000000000004E-2"/>
    <n v="0.4"/>
    <n v="0.4"/>
    <n v="1.9330000000000003"/>
    <x v="3"/>
    <n v="0.13300000000000001"/>
  </r>
  <r>
    <x v="5"/>
    <x v="13"/>
    <s v="Spring 2019"/>
    <x v="1"/>
    <s v="HSA 6717_x000a_Adv Hlth Mgt Res Sem 2019"/>
    <s v="15/23"/>
    <n v="23"/>
    <n v="15"/>
    <s v="Biscayne Bay"/>
    <x v="1"/>
    <n v="0"/>
    <n v="6.7000000000000004E-2"/>
    <n v="0.2"/>
    <n v="0.4"/>
    <n v="0.33300000000000002"/>
    <n v="2.0010000000000003"/>
    <x v="2"/>
    <n v="6.7000000000000004E-2"/>
  </r>
  <r>
    <x v="5"/>
    <x v="13"/>
    <s v="Spring 2019"/>
    <x v="1"/>
    <s v="HSA 6717_x000a_Adv Hlth Mgt Res Sem 2019"/>
    <s v="15/23"/>
    <n v="23"/>
    <n v="15"/>
    <s v="Biscayne Bay"/>
    <x v="2"/>
    <n v="0"/>
    <n v="0"/>
    <n v="0.13300000000000001"/>
    <n v="0.26700000000000002"/>
    <n v="0.6"/>
    <n v="1.5329999999999999"/>
    <x v="3"/>
    <n v="0"/>
  </r>
  <r>
    <x v="5"/>
    <x v="13"/>
    <s v="Spring 2019"/>
    <x v="1"/>
    <s v="HSA 6717_x000a_Adv Hlth Mgt Res Sem 2019"/>
    <s v="15/23"/>
    <n v="23"/>
    <n v="15"/>
    <s v="Biscayne Bay"/>
    <x v="3"/>
    <n v="0"/>
    <n v="0"/>
    <n v="0.4"/>
    <n v="0.13300000000000001"/>
    <n v="0.4"/>
    <n v="1.8660000000000001"/>
    <x v="3"/>
    <n v="0"/>
  </r>
  <r>
    <x v="5"/>
    <x v="13"/>
    <s v="Spring 2019"/>
    <x v="1"/>
    <s v="HSA 6717_x000a_Adv Hlth Mgt Res Sem 2019"/>
    <s v="15/23"/>
    <n v="23"/>
    <n v="15"/>
    <s v="Biscayne Bay"/>
    <x v="4"/>
    <n v="0"/>
    <n v="6.7000000000000004E-2"/>
    <n v="0.26700000000000002"/>
    <n v="0.26700000000000002"/>
    <n v="0.33300000000000002"/>
    <n v="1.9359999999999999"/>
    <x v="3"/>
    <n v="6.7000000000000004E-2"/>
  </r>
  <r>
    <x v="5"/>
    <x v="13"/>
    <s v="Spring 2019"/>
    <x v="1"/>
    <s v="HSA 6717_x000a_Adv Hlth Mgt Res Sem 2019"/>
    <s v="15/23"/>
    <n v="23"/>
    <n v="15"/>
    <s v="Biscayne Bay"/>
    <x v="5"/>
    <n v="0.2"/>
    <n v="6.7000000000000004E-2"/>
    <n v="0.13300000000000001"/>
    <n v="0.26700000000000002"/>
    <n v="0.33300000000000002"/>
    <n v="2.5340000000000003"/>
    <x v="2"/>
    <n v="0.26700000000000002"/>
  </r>
  <r>
    <x v="5"/>
    <x v="13"/>
    <s v="Spring 2019"/>
    <x v="1"/>
    <s v="HSA 6717_x000a_Adv Hlth Mgt Res Sem 2019"/>
    <s v="15/23"/>
    <n v="23"/>
    <n v="15"/>
    <s v="Biscayne Bay"/>
    <x v="6"/>
    <n v="0.2"/>
    <n v="0.26700000000000002"/>
    <n v="0.13300000000000001"/>
    <n v="0.26700000000000002"/>
    <n v="0.13300000000000001"/>
    <n v="3.1340000000000003"/>
    <x v="0"/>
    <n v="0.46700000000000003"/>
  </r>
  <r>
    <x v="5"/>
    <x v="13"/>
    <s v="Spring 2019"/>
    <x v="1"/>
    <s v="HSA 6717_x000a_Adv Hlth Mgt Res Sem 2019"/>
    <s v="15/23"/>
    <n v="23"/>
    <n v="15"/>
    <s v="Biscayne Bay"/>
    <x v="7"/>
    <n v="0"/>
    <n v="0.2"/>
    <n v="0"/>
    <n v="0.4"/>
    <n v="0.4"/>
    <n v="2"/>
    <x v="3"/>
    <n v="0.2"/>
  </r>
  <r>
    <x v="5"/>
    <x v="13"/>
    <s v="Spring 2019"/>
    <x v="1"/>
    <s v="HSA 6717_x000a_Adv Hlth Mgt Res Sem 2019"/>
    <s v="7/18"/>
    <n v="18"/>
    <n v="7"/>
    <s v="Online"/>
    <x v="0"/>
    <n v="0.57099999999999995"/>
    <n v="0.14299999999999999"/>
    <n v="0"/>
    <n v="0.28599999999999998"/>
    <n v="0"/>
    <n v="3.9989999999999997"/>
    <x v="0"/>
    <n v="0.71399999999999997"/>
  </r>
  <r>
    <x v="5"/>
    <x v="13"/>
    <s v="Spring 2019"/>
    <x v="1"/>
    <s v="HSA 6717_x000a_Adv Hlth Mgt Res Sem 2019"/>
    <s v="7/18"/>
    <n v="18"/>
    <n v="7"/>
    <s v="Online"/>
    <x v="1"/>
    <n v="0.42899999999999999"/>
    <n v="0.42899999999999999"/>
    <n v="0"/>
    <n v="0.14299999999999999"/>
    <n v="0"/>
    <n v="4.1469999999999994"/>
    <x v="1"/>
    <n v="0.85799999999999998"/>
  </r>
  <r>
    <x v="5"/>
    <x v="13"/>
    <s v="Spring 2019"/>
    <x v="1"/>
    <s v="HSA 6717_x000a_Adv Hlth Mgt Res Sem 2019"/>
    <s v="7/18"/>
    <n v="18"/>
    <n v="7"/>
    <s v="Online"/>
    <x v="2"/>
    <n v="0.42899999999999999"/>
    <n v="0.14299999999999999"/>
    <n v="0.28599999999999998"/>
    <n v="0"/>
    <n v="0.14299999999999999"/>
    <n v="3.718"/>
    <x v="0"/>
    <n v="0.57199999999999995"/>
  </r>
  <r>
    <x v="5"/>
    <x v="13"/>
    <s v="Spring 2019"/>
    <x v="1"/>
    <s v="HSA 6717_x000a_Adv Hlth Mgt Res Sem 2019"/>
    <s v="7/18"/>
    <n v="18"/>
    <n v="7"/>
    <s v="Online"/>
    <x v="3"/>
    <n v="0.42899999999999999"/>
    <n v="0.14299999999999999"/>
    <n v="0.28599999999999998"/>
    <n v="0"/>
    <n v="0.14299999999999999"/>
    <n v="3.718"/>
    <x v="0"/>
    <n v="0.57199999999999995"/>
  </r>
  <r>
    <x v="5"/>
    <x v="13"/>
    <s v="Spring 2019"/>
    <x v="1"/>
    <s v="HSA 6717_x000a_Adv Hlth Mgt Res Sem 2019"/>
    <s v="7/18"/>
    <n v="18"/>
    <n v="7"/>
    <s v="Online"/>
    <x v="4"/>
    <n v="0.42899999999999999"/>
    <n v="0.14299999999999999"/>
    <n v="0.28599999999999998"/>
    <n v="0"/>
    <n v="0.14299999999999999"/>
    <n v="3.718"/>
    <x v="0"/>
    <n v="0.57199999999999995"/>
  </r>
  <r>
    <x v="5"/>
    <x v="13"/>
    <s v="Spring 2019"/>
    <x v="1"/>
    <s v="HSA 6717_x000a_Adv Hlth Mgt Res Sem 2019"/>
    <s v="7/18"/>
    <n v="18"/>
    <n v="7"/>
    <s v="Online"/>
    <x v="5"/>
    <n v="0.42899999999999999"/>
    <n v="0.28599999999999998"/>
    <n v="0"/>
    <n v="0.28599999999999998"/>
    <n v="0"/>
    <n v="3.8609999999999998"/>
    <x v="0"/>
    <n v="0.71499999999999997"/>
  </r>
  <r>
    <x v="5"/>
    <x v="13"/>
    <s v="Spring 2019"/>
    <x v="1"/>
    <s v="HSA 6717_x000a_Adv Hlth Mgt Res Sem 2019"/>
    <s v="7/18"/>
    <n v="18"/>
    <n v="7"/>
    <s v="Online"/>
    <x v="6"/>
    <n v="0.42899999999999999"/>
    <n v="0.42899999999999999"/>
    <n v="0"/>
    <n v="0.14299999999999999"/>
    <n v="0"/>
    <n v="4.1469999999999994"/>
    <x v="1"/>
    <n v="0.85799999999999998"/>
  </r>
  <r>
    <x v="5"/>
    <x v="13"/>
    <s v="Spring 2019"/>
    <x v="1"/>
    <s v="HSA 6930_x000a_Pro Seminar Hlth Mgt 2019"/>
    <s v="7/18"/>
    <n v="18"/>
    <n v="7"/>
    <s v="Online"/>
    <x v="7"/>
    <n v="0.42899999999999999"/>
    <n v="0.14299999999999999"/>
    <n v="0.28599999999999998"/>
    <n v="0"/>
    <n v="0.14299999999999999"/>
    <n v="3.718"/>
    <x v="0"/>
    <n v="0.57199999999999995"/>
  </r>
  <r>
    <x v="5"/>
    <x v="13"/>
    <s v="Spring 2019"/>
    <x v="2"/>
    <s v="HSA 6930_x000a_Pro Seminar Hlth Mgt 2019"/>
    <s v="14/23"/>
    <n v="23"/>
    <n v="14"/>
    <s v="Biscayne Bay"/>
    <x v="0"/>
    <n v="0"/>
    <n v="0.14299999999999999"/>
    <n v="0.214"/>
    <n v="0.5"/>
    <n v="0.14299999999999999"/>
    <n v="2.3569999999999998"/>
    <x v="2"/>
    <n v="0.14299999999999999"/>
  </r>
  <r>
    <x v="5"/>
    <x v="13"/>
    <s v="Spring 2019"/>
    <x v="2"/>
    <s v="HSA 6930_x000a_Pro Seminar Hlth Mgt 2019"/>
    <s v="14/23"/>
    <n v="23"/>
    <n v="14"/>
    <s v="Biscayne Bay"/>
    <x v="1"/>
    <n v="0"/>
    <n v="0.14299999999999999"/>
    <n v="0.28599999999999998"/>
    <n v="0.35699999999999998"/>
    <n v="0.214"/>
    <n v="2.3579999999999997"/>
    <x v="2"/>
    <n v="0.14299999999999999"/>
  </r>
  <r>
    <x v="5"/>
    <x v="13"/>
    <s v="Spring 2019"/>
    <x v="2"/>
    <s v="HSA 6930_x000a_Pro Seminar Hlth Mgt 2019"/>
    <s v="14/23"/>
    <n v="23"/>
    <n v="14"/>
    <s v="Biscayne Bay"/>
    <x v="2"/>
    <n v="0"/>
    <n v="0"/>
    <n v="0.214"/>
    <n v="0.35699999999999998"/>
    <n v="0.35699999999999998"/>
    <n v="1.7129999999999999"/>
    <x v="3"/>
    <n v="0"/>
  </r>
  <r>
    <x v="5"/>
    <x v="13"/>
    <s v="Spring 2019"/>
    <x v="2"/>
    <s v="HSA 6930_x000a_Pro Seminar Hlth Mgt 2019"/>
    <s v="14/23"/>
    <n v="23"/>
    <n v="14"/>
    <s v="Biscayne Bay"/>
    <x v="3"/>
    <n v="0"/>
    <n v="0"/>
    <n v="0.214"/>
    <n v="0.214"/>
    <n v="0.35699999999999998"/>
    <n v="1.427"/>
    <x v="3"/>
    <n v="0"/>
  </r>
  <r>
    <x v="5"/>
    <x v="13"/>
    <s v="Spring 2019"/>
    <x v="2"/>
    <s v="HSA 6930_x000a_Pro Seminar Hlth Mgt 2019"/>
    <s v="14/23"/>
    <n v="23"/>
    <n v="14"/>
    <s v="Biscayne Bay"/>
    <x v="4"/>
    <n v="0"/>
    <n v="0"/>
    <n v="0.28599999999999998"/>
    <n v="0.5"/>
    <n v="0.14299999999999999"/>
    <n v="2.0009999999999999"/>
    <x v="2"/>
    <n v="0"/>
  </r>
  <r>
    <x v="5"/>
    <x v="13"/>
    <s v="Spring 2019"/>
    <x v="2"/>
    <s v="HSA 6930_x000a_Pro Seminar Hlth Mgt 2019"/>
    <s v="14/23"/>
    <n v="23"/>
    <n v="14"/>
    <s v="Biscayne Bay"/>
    <x v="5"/>
    <n v="7.0999999999999994E-2"/>
    <n v="7.0999999999999994E-2"/>
    <n v="7.0999999999999994E-2"/>
    <n v="0.35699999999999998"/>
    <n v="0.28599999999999998"/>
    <n v="1.8519999999999999"/>
    <x v="3"/>
    <n v="0.14199999999999999"/>
  </r>
  <r>
    <x v="5"/>
    <x v="13"/>
    <s v="Spring 2019"/>
    <x v="2"/>
    <s v="HSA 6930_x000a_Pro Seminar Hlth Mgt 2019"/>
    <s v="14/23"/>
    <n v="23"/>
    <n v="14"/>
    <s v="Biscayne Bay"/>
    <x v="6"/>
    <n v="7.0999999999999994E-2"/>
    <n v="0.214"/>
    <n v="7.0999999999999994E-2"/>
    <n v="0.35699999999999998"/>
    <n v="0.28599999999999998"/>
    <n v="2.4239999999999999"/>
    <x v="2"/>
    <n v="0.28499999999999998"/>
  </r>
  <r>
    <x v="5"/>
    <x v="13"/>
    <s v="Spring 2019"/>
    <x v="2"/>
    <s v="HSA 6930_x000a_Pro Seminar Hlth Mgt 2019"/>
    <s v="14/23"/>
    <n v="23"/>
    <n v="14"/>
    <s v="Biscayne Bay"/>
    <x v="7"/>
    <n v="0"/>
    <n v="0.14299999999999999"/>
    <n v="0"/>
    <n v="0.42899999999999999"/>
    <n v="0.42899999999999999"/>
    <n v="1.859"/>
    <x v="3"/>
    <n v="0.14299999999999999"/>
  </r>
  <r>
    <x v="5"/>
    <x v="13"/>
    <s v="Spring 2019"/>
    <x v="2"/>
    <s v="HSA 6930_x000a_Pro Seminar Hlth Mgt 2019"/>
    <s v="7/18"/>
    <n v="18"/>
    <n v="7"/>
    <s v="Online"/>
    <x v="0"/>
    <n v="0.71399999999999997"/>
    <n v="0.14299999999999999"/>
    <n v="0"/>
    <n v="0.14299999999999999"/>
    <n v="0"/>
    <n v="4.427999999999999"/>
    <x v="1"/>
    <n v="0.85699999999999998"/>
  </r>
  <r>
    <x v="5"/>
    <x v="13"/>
    <s v="Spring 2019"/>
    <x v="2"/>
    <s v="HSA 6930_x000a_Pro Seminar Hlth Mgt 2019"/>
    <s v="7/18"/>
    <n v="18"/>
    <n v="7"/>
    <s v="Online"/>
    <x v="1"/>
    <n v="0.71399999999999997"/>
    <n v="0.14299999999999999"/>
    <n v="0"/>
    <n v="0.14299999999999999"/>
    <n v="0"/>
    <n v="4.427999999999999"/>
    <x v="1"/>
    <n v="0.85699999999999998"/>
  </r>
  <r>
    <x v="5"/>
    <x v="13"/>
    <s v="Spring 2019"/>
    <x v="2"/>
    <s v="HSA 6930_x000a_Pro Seminar Hlth Mgt 2019"/>
    <s v="7/18"/>
    <n v="18"/>
    <n v="7"/>
    <s v="Online"/>
    <x v="2"/>
    <n v="0.71399999999999997"/>
    <n v="0.14299999999999999"/>
    <n v="0"/>
    <n v="0"/>
    <n v="0.14299999999999999"/>
    <n v="4.2849999999999993"/>
    <x v="1"/>
    <n v="0.85699999999999998"/>
  </r>
  <r>
    <x v="5"/>
    <x v="13"/>
    <s v="Spring 2019"/>
    <x v="2"/>
    <s v="HSA 6930_x000a_Pro Seminar Hlth Mgt 2019"/>
    <s v="7/18"/>
    <n v="18"/>
    <n v="7"/>
    <s v="Online"/>
    <x v="3"/>
    <n v="0.57099999999999995"/>
    <n v="0"/>
    <n v="0.28599999999999998"/>
    <n v="0.14299999999999999"/>
    <n v="0"/>
    <n v="3.9989999999999992"/>
    <x v="0"/>
    <n v="0.57099999999999995"/>
  </r>
  <r>
    <x v="5"/>
    <x v="13"/>
    <s v="Spring 2019"/>
    <x v="2"/>
    <s v="HSA 6930_x000a_Pro Seminar Hlth Mgt 2019"/>
    <s v="7/18"/>
    <n v="18"/>
    <n v="7"/>
    <s v="Online"/>
    <x v="4"/>
    <n v="0.71399999999999997"/>
    <n v="0.14299999999999999"/>
    <n v="0"/>
    <n v="0.14299999999999999"/>
    <n v="0"/>
    <n v="4.427999999999999"/>
    <x v="1"/>
    <n v="0.85699999999999998"/>
  </r>
  <r>
    <x v="5"/>
    <x v="13"/>
    <s v="Spring 2019"/>
    <x v="2"/>
    <s v="HSA 6930_x000a_Pro Seminar Hlth Mgt 2019"/>
    <s v="7/18"/>
    <n v="18"/>
    <n v="7"/>
    <s v="Online"/>
    <x v="5"/>
    <n v="0.71399999999999997"/>
    <n v="0.14299999999999999"/>
    <n v="0"/>
    <n v="0.14299999999999999"/>
    <n v="0"/>
    <n v="4.427999999999999"/>
    <x v="1"/>
    <n v="0.85699999999999998"/>
  </r>
  <r>
    <x v="5"/>
    <x v="13"/>
    <s v="Spring 2019"/>
    <x v="2"/>
    <s v="HSA 6930_x000a_Pro Seminar Hlth Mgt 2019"/>
    <s v="7/18"/>
    <n v="18"/>
    <n v="7"/>
    <s v="Online"/>
    <x v="6"/>
    <n v="0.71399999999999997"/>
    <n v="0.14299999999999999"/>
    <n v="0"/>
    <n v="0.14299999999999999"/>
    <n v="0"/>
    <n v="4.427999999999999"/>
    <x v="1"/>
    <n v="0.85699999999999998"/>
  </r>
  <r>
    <x v="5"/>
    <x v="13"/>
    <s v="Spring 2019"/>
    <x v="2"/>
    <s v="HSA 3412C_x000a_Cultural Competency in HSC 2019"/>
    <s v="7/18"/>
    <n v="18"/>
    <n v="7"/>
    <s v="Online"/>
    <x v="7"/>
    <n v="0.71399999999999997"/>
    <n v="0.14299999999999999"/>
    <n v="0"/>
    <n v="0"/>
    <n v="0.14299999999999999"/>
    <n v="4.2849999999999993"/>
    <x v="1"/>
    <n v="0.85699999999999998"/>
  </r>
  <r>
    <x v="6"/>
    <x v="14"/>
    <s v="Fall 2018"/>
    <x v="6"/>
    <s v="HSA 3412C_x000a_Cultural Competency in HSC 2018"/>
    <s v="27/31"/>
    <n v="31"/>
    <n v="27"/>
    <s v="Biscayne Bay"/>
    <x v="0"/>
    <n v="0.81499999999999995"/>
    <n v="0.111"/>
    <n v="7.3999999999999996E-2"/>
    <n v="0"/>
    <n v="0"/>
    <n v="4.7409999999999997"/>
    <x v="1"/>
    <n v="0.92599999999999993"/>
  </r>
  <r>
    <x v="6"/>
    <x v="14"/>
    <s v="Fall 2018"/>
    <x v="6"/>
    <s v="HSA 3412C_x000a_Cultural Competency in HSC 2018"/>
    <s v="27/31"/>
    <n v="31"/>
    <n v="27"/>
    <s v="Biscayne Bay"/>
    <x v="1"/>
    <n v="0.77800000000000002"/>
    <n v="0.14799999999999999"/>
    <n v="3.6999999999999998E-2"/>
    <n v="3.6999999999999998E-2"/>
    <n v="0"/>
    <n v="4.6669999999999998"/>
    <x v="1"/>
    <n v="0.92600000000000005"/>
  </r>
  <r>
    <x v="6"/>
    <x v="14"/>
    <s v="Fall 2018"/>
    <x v="6"/>
    <s v="HSA 3412C_x000a_Cultural Competency in HSC 2018"/>
    <s v="27/31"/>
    <n v="31"/>
    <n v="27"/>
    <s v="Biscayne Bay"/>
    <x v="2"/>
    <n v="0.77800000000000002"/>
    <n v="0.14799999999999999"/>
    <n v="7.3999999999999996E-2"/>
    <n v="0"/>
    <n v="0"/>
    <n v="4.7040000000000006"/>
    <x v="1"/>
    <n v="0.92600000000000005"/>
  </r>
  <r>
    <x v="6"/>
    <x v="14"/>
    <s v="Fall 2018"/>
    <x v="6"/>
    <s v="HSA 3412C_x000a_Cultural Competency in HSC 2018"/>
    <s v="27/31"/>
    <n v="31"/>
    <n v="27"/>
    <s v="Biscayne Bay"/>
    <x v="3"/>
    <n v="0.74099999999999999"/>
    <n v="0.185"/>
    <n v="3.6999999999999998E-2"/>
    <n v="3.6999999999999998E-2"/>
    <n v="0"/>
    <n v="4.63"/>
    <x v="1"/>
    <n v="0.92599999999999993"/>
  </r>
  <r>
    <x v="6"/>
    <x v="14"/>
    <s v="Fall 2018"/>
    <x v="6"/>
    <s v="HSA 3412C_x000a_Cultural Competency in HSC 2018"/>
    <s v="27/31"/>
    <n v="31"/>
    <n v="27"/>
    <s v="Biscayne Bay"/>
    <x v="4"/>
    <n v="0.77800000000000002"/>
    <n v="0.14799999999999999"/>
    <n v="3.6999999999999998E-2"/>
    <n v="0"/>
    <n v="0"/>
    <n v="4.593"/>
    <x v="1"/>
    <n v="0.92600000000000005"/>
  </r>
  <r>
    <x v="6"/>
    <x v="14"/>
    <s v="Fall 2018"/>
    <x v="6"/>
    <s v="HSA 3412C_x000a_Cultural Competency in HSC 2018"/>
    <s v="27/31"/>
    <n v="31"/>
    <n v="27"/>
    <s v="Biscayne Bay"/>
    <x v="5"/>
    <n v="0.85199999999999998"/>
    <n v="0.111"/>
    <n v="3.6999999999999998E-2"/>
    <n v="0"/>
    <n v="0"/>
    <n v="4.8149999999999995"/>
    <x v="1"/>
    <n v="0.96299999999999997"/>
  </r>
  <r>
    <x v="6"/>
    <x v="14"/>
    <s v="Fall 2018"/>
    <x v="6"/>
    <s v="HSA 3412C_x000a_Cultural Competency in HSC 2018"/>
    <s v="27/31"/>
    <n v="31"/>
    <n v="27"/>
    <s v="Biscayne Bay"/>
    <x v="6"/>
    <n v="0.81499999999999995"/>
    <n v="0.111"/>
    <n v="7.3999999999999996E-2"/>
    <n v="0"/>
    <n v="0"/>
    <n v="4.7409999999999997"/>
    <x v="1"/>
    <n v="0.92599999999999993"/>
  </r>
  <r>
    <x v="6"/>
    <x v="14"/>
    <s v="Fall 2018"/>
    <x v="6"/>
    <s v="HSA 4170_x000a_Hlthcr Fincl Mgt 2018"/>
    <s v="27/31"/>
    <n v="31"/>
    <n v="27"/>
    <s v="Biscayne Bay"/>
    <x v="7"/>
    <n v="0.77800000000000002"/>
    <n v="0.185"/>
    <n v="3.6999999999999998E-2"/>
    <n v="0"/>
    <n v="0"/>
    <n v="4.7409999999999997"/>
    <x v="1"/>
    <n v="0.96300000000000008"/>
  </r>
  <r>
    <x v="6"/>
    <x v="14"/>
    <s v="Fall 2018"/>
    <x v="7"/>
    <s v="HSA 4170_x000a_Hlthcr Fincl Mgt 2018"/>
    <s v="23/27"/>
    <n v="27"/>
    <n v="23"/>
    <s v="Biscayne Bay"/>
    <x v="0"/>
    <n v="0.52200000000000002"/>
    <n v="4.2999999999999997E-2"/>
    <n v="0.217"/>
    <n v="0.13"/>
    <n v="8.6999999999999994E-2"/>
    <n v="3.7800000000000007"/>
    <x v="0"/>
    <n v="0.56500000000000006"/>
  </r>
  <r>
    <x v="6"/>
    <x v="14"/>
    <s v="Fall 2018"/>
    <x v="7"/>
    <s v="HSA 4170_x000a_Hlthcr Fincl Mgt 2018"/>
    <s v="23/27"/>
    <n v="27"/>
    <n v="23"/>
    <s v="Biscayne Bay"/>
    <x v="1"/>
    <n v="0.47799999999999998"/>
    <n v="4.2999999999999997E-2"/>
    <n v="0.30399999999999999"/>
    <n v="8.6999999999999994E-2"/>
    <n v="8.6999999999999994E-2"/>
    <n v="3.7349999999999999"/>
    <x v="0"/>
    <n v="0.52100000000000002"/>
  </r>
  <r>
    <x v="6"/>
    <x v="14"/>
    <s v="Fall 2018"/>
    <x v="7"/>
    <s v="HSA 4170_x000a_Hlthcr Fincl Mgt 2018"/>
    <s v="23/27"/>
    <n v="27"/>
    <n v="23"/>
    <s v="Biscayne Bay"/>
    <x v="2"/>
    <n v="0.26100000000000001"/>
    <n v="0.217"/>
    <n v="0.217"/>
    <n v="0.13"/>
    <n v="0.17399999999999999"/>
    <n v="3.2579999999999996"/>
    <x v="0"/>
    <n v="0.47799999999999998"/>
  </r>
  <r>
    <x v="6"/>
    <x v="14"/>
    <s v="Fall 2018"/>
    <x v="7"/>
    <s v="HSA 4170_x000a_Hlthcr Fincl Mgt 2018"/>
    <s v="23/27"/>
    <n v="27"/>
    <n v="23"/>
    <s v="Biscayne Bay"/>
    <x v="3"/>
    <n v="0.34799999999999998"/>
    <n v="8.6999999999999994E-2"/>
    <n v="0.217"/>
    <n v="0.17399999999999999"/>
    <n v="0.17399999999999999"/>
    <n v="3.2609999999999997"/>
    <x v="0"/>
    <n v="0.43499999999999994"/>
  </r>
  <r>
    <x v="6"/>
    <x v="14"/>
    <s v="Fall 2018"/>
    <x v="7"/>
    <s v="HSA 4170_x000a_Hlthcr Fincl Mgt 2018"/>
    <s v="23/27"/>
    <n v="27"/>
    <n v="23"/>
    <s v="Biscayne Bay"/>
    <x v="4"/>
    <n v="0.30399999999999999"/>
    <n v="4.2999999999999997E-2"/>
    <n v="0.34799999999999998"/>
    <n v="0.13"/>
    <n v="0.17399999999999999"/>
    <n v="3.1699999999999995"/>
    <x v="0"/>
    <n v="0.34699999999999998"/>
  </r>
  <r>
    <x v="6"/>
    <x v="14"/>
    <s v="Fall 2018"/>
    <x v="7"/>
    <s v="HSA 4170_x000a_Hlthcr Fincl Mgt 2018"/>
    <s v="23/27"/>
    <n v="27"/>
    <n v="23"/>
    <s v="Biscayne Bay"/>
    <x v="5"/>
    <n v="0.47799999999999998"/>
    <n v="0.30399999999999999"/>
    <n v="8.6999999999999994E-2"/>
    <n v="8.6999999999999994E-2"/>
    <n v="0"/>
    <n v="4.0410000000000004"/>
    <x v="1"/>
    <n v="0.78200000000000003"/>
  </r>
  <r>
    <x v="6"/>
    <x v="14"/>
    <s v="Fall 2018"/>
    <x v="7"/>
    <s v="HSA 4170_x000a_Hlthcr Fincl Mgt 2018"/>
    <s v="23/27"/>
    <n v="27"/>
    <n v="23"/>
    <s v="Biscayne Bay"/>
    <x v="6"/>
    <n v="0.56499999999999995"/>
    <n v="0.30399999999999999"/>
    <n v="4.2999999999999997E-2"/>
    <n v="8.6999999999999994E-2"/>
    <n v="0"/>
    <n v="4.3440000000000003"/>
    <x v="1"/>
    <n v="0.86899999999999999"/>
  </r>
  <r>
    <x v="6"/>
    <x v="14"/>
    <s v="Fall 2018"/>
    <x v="7"/>
    <s v="HSA 4431_x000a_Values/Ethics &amp; Conf 2018"/>
    <s v="23/27"/>
    <n v="27"/>
    <n v="23"/>
    <s v="Biscayne Bay"/>
    <x v="7"/>
    <n v="0.30399999999999999"/>
    <n v="0.17399999999999999"/>
    <n v="0.26100000000000001"/>
    <n v="0.17399999999999999"/>
    <n v="8.6999999999999994E-2"/>
    <n v="3.4340000000000002"/>
    <x v="0"/>
    <n v="0.47799999999999998"/>
  </r>
  <r>
    <x v="6"/>
    <x v="14"/>
    <s v="Fall 2018"/>
    <x v="8"/>
    <s v="HSA 4431_x000a_Values/Ethics &amp; Conf 2018"/>
    <s v="51/56"/>
    <n v="56"/>
    <n v="51"/>
    <s v="Biscayne Bay"/>
    <x v="0"/>
    <n v="0.64700000000000002"/>
    <n v="0.23499999999999999"/>
    <n v="9.8000000000000004E-2"/>
    <n v="0"/>
    <n v="0.02"/>
    <n v="4.4890000000000008"/>
    <x v="1"/>
    <n v="0.88200000000000001"/>
  </r>
  <r>
    <x v="6"/>
    <x v="14"/>
    <s v="Fall 2018"/>
    <x v="8"/>
    <s v="HSA 4431_x000a_Values/Ethics &amp; Conf 2018"/>
    <s v="51/56"/>
    <n v="56"/>
    <n v="51"/>
    <s v="Biscayne Bay"/>
    <x v="1"/>
    <n v="0.627"/>
    <n v="0.216"/>
    <n v="9.8000000000000004E-2"/>
    <n v="5.8999999999999997E-2"/>
    <n v="0"/>
    <n v="4.4109999999999996"/>
    <x v="1"/>
    <n v="0.84299999999999997"/>
  </r>
  <r>
    <x v="6"/>
    <x v="14"/>
    <s v="Fall 2018"/>
    <x v="8"/>
    <s v="HSA 4431_x000a_Values/Ethics &amp; Conf 2018"/>
    <s v="51/56"/>
    <n v="56"/>
    <n v="51"/>
    <s v="Biscayne Bay"/>
    <x v="2"/>
    <n v="0.52900000000000003"/>
    <n v="0.13700000000000001"/>
    <n v="0.255"/>
    <n v="5.8999999999999997E-2"/>
    <n v="0.02"/>
    <n v="4.0960000000000001"/>
    <x v="1"/>
    <n v="0.66600000000000004"/>
  </r>
  <r>
    <x v="6"/>
    <x v="14"/>
    <s v="Fall 2018"/>
    <x v="8"/>
    <s v="HSA 4431_x000a_Values/Ethics &amp; Conf 2018"/>
    <s v="51/56"/>
    <n v="56"/>
    <n v="51"/>
    <s v="Biscayne Bay"/>
    <x v="3"/>
    <n v="0.627"/>
    <n v="0.17599999999999999"/>
    <n v="0.11799999999999999"/>
    <n v="0"/>
    <n v="7.8E-2"/>
    <n v="4.2709999999999999"/>
    <x v="1"/>
    <n v="0.80299999999999994"/>
  </r>
  <r>
    <x v="6"/>
    <x v="14"/>
    <s v="Fall 2018"/>
    <x v="8"/>
    <s v="HSA 4431_x000a_Values/Ethics &amp; Conf 2018"/>
    <s v="51/56"/>
    <n v="56"/>
    <n v="51"/>
    <s v="Biscayne Bay"/>
    <x v="4"/>
    <n v="0.56899999999999995"/>
    <n v="0.23499999999999999"/>
    <n v="0.11799999999999999"/>
    <n v="3.9E-2"/>
    <n v="3.9E-2"/>
    <n v="4.2559999999999993"/>
    <x v="1"/>
    <n v="0.80399999999999994"/>
  </r>
  <r>
    <x v="6"/>
    <x v="14"/>
    <s v="Fall 2018"/>
    <x v="8"/>
    <s v="HSA 4431_x000a_Values/Ethics &amp; Conf 2018"/>
    <s v="51/56"/>
    <n v="56"/>
    <n v="51"/>
    <s v="Biscayne Bay"/>
    <x v="5"/>
    <n v="0.66700000000000004"/>
    <n v="9.8000000000000004E-2"/>
    <n v="0.216"/>
    <n v="0.02"/>
    <n v="0"/>
    <n v="4.415"/>
    <x v="1"/>
    <n v="0.76500000000000001"/>
  </r>
  <r>
    <x v="6"/>
    <x v="14"/>
    <s v="Fall 2018"/>
    <x v="8"/>
    <s v="HSA 4431_x000a_Values/Ethics &amp; Conf 2018"/>
    <s v="51/56"/>
    <n v="56"/>
    <n v="51"/>
    <s v="Biscayne Bay"/>
    <x v="6"/>
    <n v="0.745"/>
    <n v="0.11799999999999999"/>
    <n v="0.13700000000000001"/>
    <n v="0"/>
    <n v="0"/>
    <n v="4.6080000000000005"/>
    <x v="1"/>
    <n v="0.86299999999999999"/>
  </r>
  <r>
    <x v="6"/>
    <x v="14"/>
    <s v="Fall 2018"/>
    <x v="8"/>
    <s v="HSA 4700 Qlty Evdn Bsd Hlthcr Srvcs 2018"/>
    <s v="51/56"/>
    <n v="56"/>
    <n v="51"/>
    <s v="Biscayne Bay"/>
    <x v="7"/>
    <n v="0.627"/>
    <n v="0.216"/>
    <n v="0.13700000000000001"/>
    <n v="0.02"/>
    <n v="0"/>
    <n v="4.45"/>
    <x v="1"/>
    <n v="0.84299999999999997"/>
  </r>
  <r>
    <x v="6"/>
    <x v="14"/>
    <s v="Fall 2018"/>
    <x v="9"/>
    <s v="HSA 4700 Qlty Evdn Bsd Hlthcr Srvcs 2018"/>
    <s v="71/92"/>
    <n v="92"/>
    <n v="71"/>
    <s v="Online"/>
    <x v="0"/>
    <n v="0.45100000000000001"/>
    <n v="0.23899999999999999"/>
    <n v="0.22500000000000001"/>
    <n v="8.5000000000000006E-2"/>
    <n v="0"/>
    <n v="4.056"/>
    <x v="1"/>
    <n v="0.69"/>
  </r>
  <r>
    <x v="6"/>
    <x v="14"/>
    <s v="Fall 2018"/>
    <x v="9"/>
    <s v="HSA 4700 Qlty Evdn Bsd Hlthcr Srvcs 2018"/>
    <s v="71/92"/>
    <n v="92"/>
    <n v="71"/>
    <s v="Online"/>
    <x v="1"/>
    <n v="0.52100000000000002"/>
    <n v="0.16900000000000001"/>
    <n v="0.23899999999999999"/>
    <n v="5.6000000000000001E-2"/>
    <n v="1.4E-2"/>
    <n v="4.1240000000000006"/>
    <x v="1"/>
    <n v="0.69000000000000006"/>
  </r>
  <r>
    <x v="6"/>
    <x v="14"/>
    <s v="Fall 2018"/>
    <x v="9"/>
    <s v="HSA 4700 Qlty Evdn Bsd Hlthcr Srvcs 2018"/>
    <s v="71/92"/>
    <n v="92"/>
    <n v="71"/>
    <s v="Online"/>
    <x v="2"/>
    <n v="0.47899999999999998"/>
    <n v="0.14099999999999999"/>
    <n v="0.23899999999999999"/>
    <n v="0.113"/>
    <n v="1.4E-2"/>
    <n v="3.9159999999999999"/>
    <x v="0"/>
    <n v="0.62"/>
  </r>
  <r>
    <x v="6"/>
    <x v="14"/>
    <s v="Fall 2018"/>
    <x v="9"/>
    <s v="HSA 4700 Qlty Evdn Bsd Hlthcr Srvcs 2018"/>
    <s v="71/92"/>
    <n v="92"/>
    <n v="71"/>
    <s v="Online"/>
    <x v="3"/>
    <n v="0.46500000000000002"/>
    <n v="0.14099999999999999"/>
    <n v="0.26800000000000002"/>
    <n v="2.8000000000000001E-2"/>
    <n v="7.0000000000000007E-2"/>
    <n v="3.8190000000000004"/>
    <x v="0"/>
    <n v="0.60599999999999998"/>
  </r>
  <r>
    <x v="6"/>
    <x v="14"/>
    <s v="Fall 2018"/>
    <x v="9"/>
    <s v="HSA 4700 Qlty Evdn Bsd Hlthcr Srvcs 2018"/>
    <s v="71/92"/>
    <n v="92"/>
    <n v="71"/>
    <s v="Online"/>
    <x v="4"/>
    <n v="0.45100000000000001"/>
    <n v="0.14099999999999999"/>
    <n v="0.28199999999999997"/>
    <n v="7.0000000000000007E-2"/>
    <n v="2.8000000000000001E-2"/>
    <n v="3.8330000000000002"/>
    <x v="0"/>
    <n v="0.59199999999999997"/>
  </r>
  <r>
    <x v="6"/>
    <x v="14"/>
    <s v="Fall 2018"/>
    <x v="9"/>
    <s v="HSA 4700 Qlty Evdn Bsd Hlthcr Srvcs 2018"/>
    <s v="71/92"/>
    <n v="92"/>
    <n v="71"/>
    <s v="Online"/>
    <x v="5"/>
    <n v="0.52100000000000002"/>
    <n v="0.113"/>
    <n v="0.183"/>
    <n v="9.9000000000000005E-2"/>
    <n v="4.2000000000000003E-2"/>
    <n v="3.8459999999999996"/>
    <x v="0"/>
    <n v="0.63400000000000001"/>
  </r>
  <r>
    <x v="6"/>
    <x v="14"/>
    <s v="Fall 2018"/>
    <x v="9"/>
    <s v="HSA 4700 Qlty Evdn Bsd Hlthcr Srvcs 2018"/>
    <s v="71/92"/>
    <n v="92"/>
    <n v="71"/>
    <s v="Online"/>
    <x v="6"/>
    <n v="0.52100000000000002"/>
    <n v="8.5000000000000006E-2"/>
    <n v="0.23899999999999999"/>
    <n v="5.6000000000000001E-2"/>
    <n v="5.6000000000000001E-2"/>
    <n v="3.83"/>
    <x v="0"/>
    <n v="0.60599999999999998"/>
  </r>
  <r>
    <x v="6"/>
    <x v="14"/>
    <s v="Fall 2018"/>
    <x v="9"/>
    <s v=" 2018"/>
    <s v="71/92"/>
    <n v="92"/>
    <n v="71"/>
    <s v="Online"/>
    <x v="7"/>
    <n v="0.47899999999999998"/>
    <n v="0.127"/>
    <n v="0.254"/>
    <n v="0.113"/>
    <n v="2.8000000000000001E-2"/>
    <n v="3.919"/>
    <x v="0"/>
    <n v="0.605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43C4E-61E9-4314-81FF-04B7F2074F2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6:B15" firstHeaderRow="1" firstDataRow="1" firstDataCol="1" rowPageCount="1" colPageCount="1"/>
  <pivotFields count="19">
    <pivotField multipleItemSelectionAllowed="1" showAll="0"/>
    <pivotField axis="axisPage" multipleItemSelectionAllowed="1" showAll="0">
      <items count="16">
        <item x="14"/>
        <item x="11"/>
        <item h="1" x="13"/>
        <item h="1" x="12"/>
        <item h="1" x="10"/>
        <item x="9"/>
        <item x="8"/>
        <item x="7"/>
        <item x="4"/>
        <item h="1" x="6"/>
        <item h="1" x="5"/>
        <item x="1"/>
        <item x="3"/>
        <item h="1" x="2"/>
        <item x="0"/>
        <item t="default"/>
      </items>
    </pivotField>
    <pivotField multipleItemSelectionAllowed="1" showAll="0"/>
    <pivotField axis="axisRow" multipleItemSelectionAllowed="1" showAll="0" sortType="ascending">
      <items count="12">
        <item x="6"/>
        <item x="7"/>
        <item x="8"/>
        <item x="9"/>
        <item x="4"/>
        <item x="3"/>
        <item x="5"/>
        <item x="0"/>
        <item m="1" x="1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2" showAll="0"/>
    <pivotField multipleItemSelectionAllowed="1" showAll="0"/>
    <pivotField multipleItemSelectionAllowed="1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4" showAll="0"/>
    <pivotField numFmtId="164" showAll="0"/>
    <pivotField numFmtId="164" showAll="0"/>
    <pivotField dataField="1" showAll="0"/>
    <pivotField showAll="0"/>
    <pivotField numFmtId="164" showAll="0"/>
    <pivotField dragToRow="0" dragToCol="0" dragToPage="0" showAll="0" defaultSubtotal="0"/>
  </pivotFields>
  <rowFields count="1">
    <field x="3"/>
  </rowFields>
  <rowItems count="9">
    <i>
      <x v="1"/>
    </i>
    <i>
      <x v="7"/>
    </i>
    <i>
      <x v="3"/>
    </i>
    <i>
      <x v="9"/>
    </i>
    <i>
      <x v="10"/>
    </i>
    <i>
      <x v="2"/>
    </i>
    <i>
      <x v="4"/>
    </i>
    <i>
      <x/>
    </i>
    <i t="grand">
      <x/>
    </i>
  </rowItems>
  <colItems count="1">
    <i/>
  </colItems>
  <pageFields count="1">
    <pageField fld="1" hier="-1"/>
  </pageFields>
  <dataFields count="1">
    <dataField name="Average of Score" fld="15" subtotal="average" baseField="2" baseItem="2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79DAC-A2D9-4310-BDCA-2EF8AC5537F2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4:B11" firstHeaderRow="1" firstDataRow="1" firstDataCol="1" rowPageCount="1" colPageCount="1"/>
  <pivotFields count="19">
    <pivotField showAll="0"/>
    <pivotField axis="axisPage" multipleItemSelectionAllowed="1" showAll="0" sortType="ascending">
      <items count="16">
        <item x="14"/>
        <item x="11"/>
        <item h="1" x="13"/>
        <item h="1" x="12"/>
        <item h="1" x="10"/>
        <item x="9"/>
        <item x="8"/>
        <item x="7"/>
        <item x="4"/>
        <item h="1" x="6"/>
        <item h="1" x="5"/>
        <item x="1"/>
        <item x="3"/>
        <item h="1" x="2"/>
        <item x="0"/>
        <item t="default"/>
      </items>
    </pivotField>
    <pivotField showAll="0" sortType="ascending"/>
    <pivotField multipleItemSelectionAllowed="1" showAll="0"/>
    <pivotField showAll="0"/>
    <pivotField showAll="0"/>
    <pivotField showAll="0"/>
    <pivotField numFmtId="12" showAll="0"/>
    <pivotField showAll="0"/>
    <pivotField axis="axisRow" multipleItemSelectionAllowed="1" showAll="0" sortType="ascending">
      <items count="9">
        <item x="5"/>
        <item h="1" x="2"/>
        <item x="0"/>
        <item x="1"/>
        <item x="4"/>
        <item x="7"/>
        <item x="6"/>
        <item h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4" showAll="0"/>
    <pivotField numFmtId="164" showAll="0"/>
    <pivotField numFmtId="164" showAll="0"/>
    <pivotField dataField="1" showAll="0"/>
    <pivotField showAll="0"/>
    <pivotField numFmtId="164" showAll="0"/>
    <pivotField dragToRow="0" dragToCol="0" dragToPage="0" showAll="0" defaultSubtotal="0"/>
  </pivotFields>
  <rowFields count="1">
    <field x="9"/>
  </rowFields>
  <rowItems count="7">
    <i>
      <x v="4"/>
    </i>
    <i>
      <x/>
    </i>
    <i>
      <x v="2"/>
    </i>
    <i>
      <x v="3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Average of Score" fld="15" subtotal="average" baseField="7" baseItem="7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A27DA-9DBD-4702-832A-A3518EA0A828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B12" firstHeaderRow="1" firstDataRow="1" firstDataCol="1" rowPageCount="1" colPageCount="1"/>
  <pivotFields count="19">
    <pivotField axis="axisRow" showAll="0">
      <items count="8">
        <item x="6"/>
        <item x="5"/>
        <item x="4"/>
        <item x="3"/>
        <item x="2"/>
        <item x="1"/>
        <item h="1" x="0"/>
        <item t="default"/>
      </items>
    </pivotField>
    <pivotField axis="axisPage" multipleItemSelectionAllowed="1" showAll="0">
      <items count="16">
        <item x="14"/>
        <item x="11"/>
        <item h="1" x="13"/>
        <item h="1" x="12"/>
        <item h="1" x="10"/>
        <item x="9"/>
        <item x="8"/>
        <item x="7"/>
        <item x="4"/>
        <item h="1" x="6"/>
        <item h="1" x="5"/>
        <item x="1"/>
        <item x="3"/>
        <item h="1" x="2"/>
        <item x="0"/>
        <item t="default"/>
      </items>
    </pivotField>
    <pivotField showAll="0"/>
    <pivotField showAll="0"/>
    <pivotField showAll="0"/>
    <pivotField showAll="0"/>
    <pivotField showAll="0"/>
    <pivotField numFmtId="12" showAll="0"/>
    <pivotField showAll="0"/>
    <pivotField axis="axisRow" showAll="0">
      <items count="9">
        <item h="1" x="5"/>
        <item h="1" x="2"/>
        <item h="1" x="0"/>
        <item h="1" x="1"/>
        <item h="1" x="4"/>
        <item x="7"/>
        <item h="1" x="6"/>
        <item h="1" x="3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dataField="1" showAll="0"/>
    <pivotField showAll="0"/>
    <pivotField numFmtId="164" showAll="0"/>
    <pivotField dragToRow="0" dragToCol="0" dragToPage="0" showAll="0" defaultSubtotal="0"/>
  </pivotFields>
  <rowFields count="2">
    <field x="9"/>
    <field x="0"/>
  </rowFields>
  <rowItems count="8">
    <i>
      <x v="5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pageFields count="1">
    <pageField fld="1" hier="-1"/>
  </pageFields>
  <dataFields count="1">
    <dataField name="Average of Score" fld="15" subtotal="average" baseField="9" baseItem="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9" count="1" selected="0">
            <x v="5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9" count="1" selected="0">
            <x v="5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9" count="1" selected="0">
            <x v="5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9" count="1" selected="0">
            <x v="5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5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FA5BA2-3230-4E70-9117-1EB361D89E8B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B12" firstHeaderRow="1" firstDataRow="1" firstDataCol="1" rowPageCount="1" colPageCount="1"/>
  <pivotFields count="19">
    <pivotField axis="axisRow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Page" multipleItemSelectionAllowed="1" showAll="0">
      <items count="16">
        <item x="14"/>
        <item x="11"/>
        <item h="1" x="13"/>
        <item h="1" x="12"/>
        <item h="1" x="10"/>
        <item x="9"/>
        <item x="8"/>
        <item x="7"/>
        <item x="4"/>
        <item h="1" x="6"/>
        <item h="1" x="5"/>
        <item x="1"/>
        <item x="3"/>
        <item h="1" x="2"/>
        <item x="0"/>
        <item t="default"/>
      </items>
    </pivotField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2" showAll="0"/>
    <pivotField showAll="0"/>
    <pivotField multipleItemSelectionAllowed="1"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numFmtId="164" showAll="0"/>
    <pivotField numFmtId="164" showAll="0"/>
    <pivotField numFmtId="164" showAll="0"/>
    <pivotField dataField="1" showAll="0"/>
    <pivotField showAll="0">
      <items count="5">
        <item x="1"/>
        <item x="3"/>
        <item x="2"/>
        <item x="0"/>
        <item t="default"/>
      </items>
    </pivotField>
    <pivotField numFmtId="164" showAll="0"/>
    <pivotField dragToRow="0" dragToCol="0" dragToPage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hier="-1"/>
  </pageFields>
  <dataFields count="1">
    <dataField name="Average of Score" fld="15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057AF0-9764-42F6-AAF1-8DECF535C42E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7" firstHeaderRow="1" firstDataRow="1" firstDataCol="1"/>
  <pivotFields count="19">
    <pivotField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6">
        <item x="14"/>
        <item x="11"/>
        <item x="13"/>
        <item x="12"/>
        <item x="10"/>
        <item x="9"/>
        <item x="8"/>
        <item x="7"/>
        <item x="4"/>
        <item x="6"/>
        <item x="5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2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showAll="0"/>
    <pivotField showAll="0">
      <items count="5">
        <item x="1"/>
        <item x="3"/>
        <item x="2"/>
        <item x="0"/>
        <item t="default"/>
      </items>
    </pivotField>
    <pivotField numFmtId="164" showAll="0"/>
    <pivotField dragToRow="0" dragToCol="0" dragToPage="0" showAll="0" defaultSubtota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core" fld="15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74D42-D63E-4B8A-A341-6236D46EC17B}">
  <dimension ref="A1:C6"/>
  <sheetViews>
    <sheetView workbookViewId="0">
      <selection activeCell="B7" sqref="B7"/>
    </sheetView>
  </sheetViews>
  <sheetFormatPr defaultRowHeight="12.75" x14ac:dyDescent="0.2"/>
  <sheetData>
    <row r="1" spans="1:3" x14ac:dyDescent="0.2">
      <c r="A1" s="74" t="s">
        <v>206</v>
      </c>
    </row>
    <row r="2" spans="1:3" x14ac:dyDescent="0.2">
      <c r="A2">
        <v>5</v>
      </c>
      <c r="B2" s="74" t="s">
        <v>208</v>
      </c>
      <c r="C2">
        <v>1</v>
      </c>
    </row>
    <row r="3" spans="1:3" x14ac:dyDescent="0.2">
      <c r="A3">
        <v>4</v>
      </c>
      <c r="B3" s="74" t="s">
        <v>209</v>
      </c>
      <c r="C3">
        <v>1</v>
      </c>
    </row>
    <row r="4" spans="1:3" x14ac:dyDescent="0.2">
      <c r="A4">
        <v>3</v>
      </c>
      <c r="B4" s="74" t="s">
        <v>210</v>
      </c>
      <c r="C4">
        <v>1</v>
      </c>
    </row>
    <row r="5" spans="1:3" x14ac:dyDescent="0.2">
      <c r="A5">
        <v>2</v>
      </c>
      <c r="B5" s="74" t="s">
        <v>211</v>
      </c>
      <c r="C5">
        <v>1</v>
      </c>
    </row>
    <row r="6" spans="1:3" x14ac:dyDescent="0.2">
      <c r="A6">
        <v>1</v>
      </c>
      <c r="B6" s="74" t="s">
        <v>212</v>
      </c>
      <c r="C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"/>
  <sheetViews>
    <sheetView topLeftCell="A275" zoomScale="160" zoomScaleNormal="160" workbookViewId="0">
      <selection activeCell="B301" sqref="B301"/>
    </sheetView>
  </sheetViews>
  <sheetFormatPr defaultColWidth="15" defaultRowHeight="12.75" x14ac:dyDescent="0.2"/>
  <cols>
    <col min="1" max="1" width="15" style="35"/>
    <col min="2" max="2" width="32.83203125" style="1" customWidth="1"/>
    <col min="3" max="3" width="15" style="47"/>
    <col min="4" max="4" width="15" style="2"/>
    <col min="5" max="16384" width="15" style="4"/>
  </cols>
  <sheetData>
    <row r="1" spans="1:11" ht="23.1" customHeight="1" x14ac:dyDescent="0.2">
      <c r="A1" s="6" t="s">
        <v>0</v>
      </c>
      <c r="B1" s="7" t="s">
        <v>82</v>
      </c>
      <c r="C1" s="39" t="s">
        <v>81</v>
      </c>
      <c r="D1" s="8" t="s">
        <v>80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4" t="s">
        <v>83</v>
      </c>
    </row>
    <row r="2" spans="1:11" s="1" customFormat="1" ht="9.6" customHeight="1" x14ac:dyDescent="0.2">
      <c r="A2" s="10" t="s">
        <v>7</v>
      </c>
      <c r="B2" s="11" t="s">
        <v>8</v>
      </c>
      <c r="C2" s="40" t="s">
        <v>9</v>
      </c>
      <c r="D2" s="12" t="s">
        <v>10</v>
      </c>
      <c r="E2" s="3" t="s">
        <v>11</v>
      </c>
      <c r="F2" s="13">
        <v>0.57099999999999995</v>
      </c>
      <c r="G2" s="13">
        <v>0</v>
      </c>
      <c r="H2" s="13">
        <v>0</v>
      </c>
      <c r="I2" s="13">
        <v>0.42899999999999999</v>
      </c>
      <c r="J2" s="13">
        <v>0</v>
      </c>
      <c r="K2" s="36">
        <f>F2+G2</f>
        <v>0.57099999999999995</v>
      </c>
    </row>
    <row r="3" spans="1:11" s="1" customFormat="1" ht="9.6" customHeight="1" x14ac:dyDescent="0.2">
      <c r="A3" s="14"/>
      <c r="B3" s="15"/>
      <c r="C3" s="41"/>
      <c r="D3" s="16"/>
      <c r="E3" s="3" t="s">
        <v>12</v>
      </c>
      <c r="F3" s="13">
        <v>0.57099999999999995</v>
      </c>
      <c r="G3" s="13">
        <v>0</v>
      </c>
      <c r="H3" s="13">
        <v>0</v>
      </c>
      <c r="I3" s="13">
        <v>0.42899999999999999</v>
      </c>
      <c r="J3" s="13">
        <v>0</v>
      </c>
      <c r="K3" s="36">
        <f t="shared" ref="K3:K66" si="0">F3+G3</f>
        <v>0.57099999999999995</v>
      </c>
    </row>
    <row r="4" spans="1:11" s="1" customFormat="1" ht="9.6" customHeight="1" x14ac:dyDescent="0.2">
      <c r="A4" s="14"/>
      <c r="B4" s="15"/>
      <c r="C4" s="41"/>
      <c r="D4" s="16"/>
      <c r="E4" s="3" t="s">
        <v>13</v>
      </c>
      <c r="F4" s="13">
        <v>0.42899999999999999</v>
      </c>
      <c r="G4" s="13">
        <v>0.14299999999999999</v>
      </c>
      <c r="H4" s="13">
        <v>0</v>
      </c>
      <c r="I4" s="13">
        <v>0.42899999999999999</v>
      </c>
      <c r="J4" s="13">
        <v>0</v>
      </c>
      <c r="K4" s="36">
        <f t="shared" si="0"/>
        <v>0.57199999999999995</v>
      </c>
    </row>
    <row r="5" spans="1:11" s="1" customFormat="1" ht="9.6" customHeight="1" x14ac:dyDescent="0.2">
      <c r="A5" s="14"/>
      <c r="B5" s="15"/>
      <c r="C5" s="41"/>
      <c r="D5" s="16"/>
      <c r="E5" s="3" t="s">
        <v>14</v>
      </c>
      <c r="F5" s="13">
        <v>0.57099999999999995</v>
      </c>
      <c r="G5" s="13">
        <v>0</v>
      </c>
      <c r="H5" s="13">
        <v>0.14299999999999999</v>
      </c>
      <c r="I5" s="13">
        <v>0.28599999999999998</v>
      </c>
      <c r="J5" s="13">
        <v>0</v>
      </c>
      <c r="K5" s="36">
        <f t="shared" si="0"/>
        <v>0.57099999999999995</v>
      </c>
    </row>
    <row r="6" spans="1:11" s="1" customFormat="1" ht="9.6" customHeight="1" x14ac:dyDescent="0.2">
      <c r="A6" s="14"/>
      <c r="B6" s="15"/>
      <c r="C6" s="41"/>
      <c r="D6" s="16"/>
      <c r="E6" s="3" t="s">
        <v>15</v>
      </c>
      <c r="F6" s="13">
        <v>0.42899999999999999</v>
      </c>
      <c r="G6" s="13">
        <v>0.14299999999999999</v>
      </c>
      <c r="H6" s="13">
        <v>0</v>
      </c>
      <c r="I6" s="13">
        <v>0.42899999999999999</v>
      </c>
      <c r="J6" s="13">
        <v>0</v>
      </c>
      <c r="K6" s="36">
        <f t="shared" si="0"/>
        <v>0.57199999999999995</v>
      </c>
    </row>
    <row r="7" spans="1:11" s="1" customFormat="1" ht="9.6" customHeight="1" x14ac:dyDescent="0.2">
      <c r="A7" s="14"/>
      <c r="B7" s="15"/>
      <c r="C7" s="41"/>
      <c r="D7" s="16"/>
      <c r="E7" s="3" t="s">
        <v>16</v>
      </c>
      <c r="F7" s="13">
        <v>0.42899999999999999</v>
      </c>
      <c r="G7" s="13">
        <v>0.14299999999999999</v>
      </c>
      <c r="H7" s="13">
        <v>0.28599999999999998</v>
      </c>
      <c r="I7" s="13">
        <v>0.14299999999999999</v>
      </c>
      <c r="J7" s="13">
        <v>0</v>
      </c>
      <c r="K7" s="36">
        <f t="shared" si="0"/>
        <v>0.57199999999999995</v>
      </c>
    </row>
    <row r="8" spans="1:11" s="1" customFormat="1" ht="9.6" customHeight="1" x14ac:dyDescent="0.2">
      <c r="A8" s="14"/>
      <c r="B8" s="15"/>
      <c r="C8" s="41"/>
      <c r="D8" s="16"/>
      <c r="E8" s="3" t="s">
        <v>17</v>
      </c>
      <c r="F8" s="13">
        <v>0.42899999999999999</v>
      </c>
      <c r="G8" s="13">
        <v>0.14299999999999999</v>
      </c>
      <c r="H8" s="13">
        <v>0.42899999999999999</v>
      </c>
      <c r="I8" s="13">
        <v>0</v>
      </c>
      <c r="J8" s="13">
        <v>0</v>
      </c>
      <c r="K8" s="36">
        <f t="shared" si="0"/>
        <v>0.57199999999999995</v>
      </c>
    </row>
    <row r="9" spans="1:11" ht="9.6" customHeight="1" x14ac:dyDescent="0.2">
      <c r="A9" s="17"/>
      <c r="B9" s="18"/>
      <c r="C9" s="42"/>
      <c r="D9" s="19"/>
      <c r="E9" s="3" t="s">
        <v>18</v>
      </c>
      <c r="F9" s="20">
        <v>0.42899999999999999</v>
      </c>
      <c r="G9" s="20">
        <v>0.14299999999999999</v>
      </c>
      <c r="H9" s="20">
        <v>0</v>
      </c>
      <c r="I9" s="20">
        <v>0.42899999999999999</v>
      </c>
      <c r="J9" s="20">
        <v>0</v>
      </c>
      <c r="K9" s="36">
        <f t="shared" si="0"/>
        <v>0.57199999999999995</v>
      </c>
    </row>
    <row r="10" spans="1:11" s="1" customFormat="1" ht="9.6" customHeight="1" x14ac:dyDescent="0.2">
      <c r="A10" s="10" t="s">
        <v>7</v>
      </c>
      <c r="B10" s="11" t="s">
        <v>19</v>
      </c>
      <c r="C10" s="40" t="s">
        <v>20</v>
      </c>
      <c r="D10" s="12" t="s">
        <v>10</v>
      </c>
      <c r="E10" s="3" t="s">
        <v>11</v>
      </c>
      <c r="F10" s="13">
        <v>0.4</v>
      </c>
      <c r="G10" s="13">
        <v>0</v>
      </c>
      <c r="H10" s="13">
        <v>0.2</v>
      </c>
      <c r="I10" s="13">
        <v>0</v>
      </c>
      <c r="J10" s="13">
        <v>0.2</v>
      </c>
      <c r="K10" s="36">
        <f t="shared" si="0"/>
        <v>0.4</v>
      </c>
    </row>
    <row r="11" spans="1:11" s="1" customFormat="1" ht="9.6" customHeight="1" x14ac:dyDescent="0.2">
      <c r="A11" s="14"/>
      <c r="B11" s="15"/>
      <c r="C11" s="41"/>
      <c r="D11" s="16"/>
      <c r="E11" s="3" t="s">
        <v>12</v>
      </c>
      <c r="F11" s="13">
        <v>0.4</v>
      </c>
      <c r="G11" s="13">
        <v>0</v>
      </c>
      <c r="H11" s="13">
        <v>0.2</v>
      </c>
      <c r="I11" s="13">
        <v>0.2</v>
      </c>
      <c r="J11" s="13">
        <v>0</v>
      </c>
      <c r="K11" s="36">
        <f t="shared" si="0"/>
        <v>0.4</v>
      </c>
    </row>
    <row r="12" spans="1:11" s="1" customFormat="1" ht="9.6" customHeight="1" x14ac:dyDescent="0.2">
      <c r="A12" s="14"/>
      <c r="B12" s="15"/>
      <c r="C12" s="41"/>
      <c r="D12" s="16"/>
      <c r="E12" s="3" t="s">
        <v>13</v>
      </c>
      <c r="F12" s="13">
        <v>0.4</v>
      </c>
      <c r="G12" s="13">
        <v>0</v>
      </c>
      <c r="H12" s="13">
        <v>0</v>
      </c>
      <c r="I12" s="13">
        <v>0.2</v>
      </c>
      <c r="J12" s="13">
        <v>0.2</v>
      </c>
      <c r="K12" s="36">
        <f t="shared" si="0"/>
        <v>0.4</v>
      </c>
    </row>
    <row r="13" spans="1:11" s="1" customFormat="1" ht="9.6" customHeight="1" x14ac:dyDescent="0.2">
      <c r="A13" s="14"/>
      <c r="B13" s="15"/>
      <c r="C13" s="41"/>
      <c r="D13" s="16"/>
      <c r="E13" s="3" t="s">
        <v>14</v>
      </c>
      <c r="F13" s="13">
        <v>0.6</v>
      </c>
      <c r="G13" s="13">
        <v>0</v>
      </c>
      <c r="H13" s="13">
        <v>0</v>
      </c>
      <c r="I13" s="13">
        <v>0</v>
      </c>
      <c r="J13" s="13">
        <v>0.2</v>
      </c>
      <c r="K13" s="36">
        <f t="shared" si="0"/>
        <v>0.6</v>
      </c>
    </row>
    <row r="14" spans="1:11" s="1" customFormat="1" ht="9.6" customHeight="1" x14ac:dyDescent="0.2">
      <c r="A14" s="14"/>
      <c r="B14" s="15"/>
      <c r="C14" s="41"/>
      <c r="D14" s="16"/>
      <c r="E14" s="3" t="s">
        <v>15</v>
      </c>
      <c r="F14" s="13">
        <v>0.6</v>
      </c>
      <c r="G14" s="13">
        <v>0</v>
      </c>
      <c r="H14" s="13">
        <v>0</v>
      </c>
      <c r="I14" s="13">
        <v>0.2</v>
      </c>
      <c r="J14" s="13">
        <v>0</v>
      </c>
      <c r="K14" s="36">
        <f t="shared" si="0"/>
        <v>0.6</v>
      </c>
    </row>
    <row r="15" spans="1:11" s="1" customFormat="1" ht="9.6" customHeight="1" x14ac:dyDescent="0.2">
      <c r="A15" s="14"/>
      <c r="B15" s="15"/>
      <c r="C15" s="41"/>
      <c r="D15" s="16"/>
      <c r="E15" s="3" t="s">
        <v>16</v>
      </c>
      <c r="F15" s="13">
        <v>0.6</v>
      </c>
      <c r="G15" s="13">
        <v>0.2</v>
      </c>
      <c r="H15" s="13">
        <v>0</v>
      </c>
      <c r="I15" s="13">
        <v>0</v>
      </c>
      <c r="J15" s="13">
        <v>0</v>
      </c>
      <c r="K15" s="36">
        <f t="shared" si="0"/>
        <v>0.8</v>
      </c>
    </row>
    <row r="16" spans="1:11" s="1" customFormat="1" ht="9.6" customHeight="1" x14ac:dyDescent="0.2">
      <c r="A16" s="14"/>
      <c r="B16" s="15"/>
      <c r="C16" s="41"/>
      <c r="D16" s="16"/>
      <c r="E16" s="3" t="s">
        <v>17</v>
      </c>
      <c r="F16" s="13">
        <v>0.6</v>
      </c>
      <c r="G16" s="13">
        <v>0.2</v>
      </c>
      <c r="H16" s="13">
        <v>0</v>
      </c>
      <c r="I16" s="13">
        <v>0</v>
      </c>
      <c r="J16" s="13">
        <v>0</v>
      </c>
      <c r="K16" s="36">
        <f t="shared" si="0"/>
        <v>0.8</v>
      </c>
    </row>
    <row r="17" spans="1:11" ht="9.6" customHeight="1" x14ac:dyDescent="0.2">
      <c r="A17" s="17"/>
      <c r="B17" s="18"/>
      <c r="C17" s="42"/>
      <c r="D17" s="19"/>
      <c r="E17" s="3" t="s">
        <v>18</v>
      </c>
      <c r="F17" s="20">
        <v>0.4</v>
      </c>
      <c r="G17" s="20">
        <v>0</v>
      </c>
      <c r="H17" s="20">
        <v>0.2</v>
      </c>
      <c r="I17" s="20">
        <v>0.4</v>
      </c>
      <c r="J17" s="20">
        <v>0</v>
      </c>
      <c r="K17" s="36">
        <f t="shared" si="0"/>
        <v>0.4</v>
      </c>
    </row>
    <row r="18" spans="1:11" s="1" customFormat="1" ht="9.6" customHeight="1" x14ac:dyDescent="0.2">
      <c r="A18" s="10" t="s">
        <v>7</v>
      </c>
      <c r="B18" s="11" t="s">
        <v>21</v>
      </c>
      <c r="C18" s="40" t="s">
        <v>22</v>
      </c>
      <c r="D18" s="12" t="s">
        <v>10</v>
      </c>
      <c r="E18" s="3" t="s">
        <v>11</v>
      </c>
      <c r="F18" s="13">
        <v>0.5</v>
      </c>
      <c r="G18" s="13">
        <v>0</v>
      </c>
      <c r="H18" s="13">
        <v>0.16700000000000001</v>
      </c>
      <c r="I18" s="13">
        <v>0.16700000000000001</v>
      </c>
      <c r="J18" s="13">
        <v>0</v>
      </c>
      <c r="K18" s="36">
        <f t="shared" si="0"/>
        <v>0.5</v>
      </c>
    </row>
    <row r="19" spans="1:11" s="1" customFormat="1" ht="9.6" customHeight="1" x14ac:dyDescent="0.2">
      <c r="A19" s="14"/>
      <c r="B19" s="15"/>
      <c r="C19" s="41"/>
      <c r="D19" s="16"/>
      <c r="E19" s="3" t="s">
        <v>12</v>
      </c>
      <c r="F19" s="13">
        <v>0.5</v>
      </c>
      <c r="G19" s="13">
        <v>0.16700000000000001</v>
      </c>
      <c r="H19" s="13">
        <v>0</v>
      </c>
      <c r="I19" s="13">
        <v>0.16700000000000001</v>
      </c>
      <c r="J19" s="13">
        <v>0</v>
      </c>
      <c r="K19" s="36">
        <f t="shared" si="0"/>
        <v>0.66700000000000004</v>
      </c>
    </row>
    <row r="20" spans="1:11" s="1" customFormat="1" ht="9.6" customHeight="1" x14ac:dyDescent="0.2">
      <c r="A20" s="14"/>
      <c r="B20" s="15"/>
      <c r="C20" s="41"/>
      <c r="D20" s="16"/>
      <c r="E20" s="3" t="s">
        <v>13</v>
      </c>
      <c r="F20" s="13">
        <v>0.5</v>
      </c>
      <c r="G20" s="13">
        <v>0</v>
      </c>
      <c r="H20" s="13">
        <v>0</v>
      </c>
      <c r="I20" s="13">
        <v>0.33300000000000002</v>
      </c>
      <c r="J20" s="13">
        <v>0</v>
      </c>
      <c r="K20" s="36">
        <f t="shared" si="0"/>
        <v>0.5</v>
      </c>
    </row>
    <row r="21" spans="1:11" s="1" customFormat="1" ht="9.6" customHeight="1" x14ac:dyDescent="0.2">
      <c r="A21" s="14"/>
      <c r="B21" s="15"/>
      <c r="C21" s="41"/>
      <c r="D21" s="16"/>
      <c r="E21" s="3" t="s">
        <v>14</v>
      </c>
      <c r="F21" s="13">
        <v>0.5</v>
      </c>
      <c r="G21" s="13">
        <v>0</v>
      </c>
      <c r="H21" s="13">
        <v>0</v>
      </c>
      <c r="I21" s="13">
        <v>0.33300000000000002</v>
      </c>
      <c r="J21" s="13">
        <v>0</v>
      </c>
      <c r="K21" s="36">
        <f t="shared" si="0"/>
        <v>0.5</v>
      </c>
    </row>
    <row r="22" spans="1:11" s="1" customFormat="1" ht="9.6" customHeight="1" x14ac:dyDescent="0.2">
      <c r="A22" s="14"/>
      <c r="B22" s="15"/>
      <c r="C22" s="41"/>
      <c r="D22" s="16"/>
      <c r="E22" s="3" t="s">
        <v>15</v>
      </c>
      <c r="F22" s="13">
        <v>0.5</v>
      </c>
      <c r="G22" s="13">
        <v>0.16700000000000001</v>
      </c>
      <c r="H22" s="13">
        <v>0</v>
      </c>
      <c r="I22" s="13">
        <v>0.16700000000000001</v>
      </c>
      <c r="J22" s="13">
        <v>0</v>
      </c>
      <c r="K22" s="36">
        <f t="shared" si="0"/>
        <v>0.66700000000000004</v>
      </c>
    </row>
    <row r="23" spans="1:11" s="1" customFormat="1" ht="9.6" customHeight="1" x14ac:dyDescent="0.2">
      <c r="A23" s="14"/>
      <c r="B23" s="15"/>
      <c r="C23" s="41"/>
      <c r="D23" s="16"/>
      <c r="E23" s="3" t="s">
        <v>16</v>
      </c>
      <c r="F23" s="13">
        <v>0.66700000000000004</v>
      </c>
      <c r="G23" s="13">
        <v>0</v>
      </c>
      <c r="H23" s="13">
        <v>0</v>
      </c>
      <c r="I23" s="13">
        <v>0.16700000000000001</v>
      </c>
      <c r="J23" s="13">
        <v>0</v>
      </c>
      <c r="K23" s="36">
        <f t="shared" si="0"/>
        <v>0.66700000000000004</v>
      </c>
    </row>
    <row r="24" spans="1:11" s="1" customFormat="1" ht="9.6" customHeight="1" x14ac:dyDescent="0.2">
      <c r="A24" s="14"/>
      <c r="B24" s="15"/>
      <c r="C24" s="41"/>
      <c r="D24" s="16"/>
      <c r="E24" s="3" t="s">
        <v>17</v>
      </c>
      <c r="F24" s="13">
        <v>0.66700000000000004</v>
      </c>
      <c r="G24" s="13">
        <v>0</v>
      </c>
      <c r="H24" s="13">
        <v>0</v>
      </c>
      <c r="I24" s="13">
        <v>0.16700000000000001</v>
      </c>
      <c r="J24" s="13">
        <v>0</v>
      </c>
      <c r="K24" s="36">
        <f t="shared" si="0"/>
        <v>0.66700000000000004</v>
      </c>
    </row>
    <row r="25" spans="1:11" ht="9.6" customHeight="1" x14ac:dyDescent="0.2">
      <c r="A25" s="17"/>
      <c r="B25" s="18"/>
      <c r="C25" s="42"/>
      <c r="D25" s="19"/>
      <c r="E25" s="3" t="s">
        <v>18</v>
      </c>
      <c r="F25" s="20">
        <v>0.5</v>
      </c>
      <c r="G25" s="20">
        <v>0</v>
      </c>
      <c r="H25" s="20">
        <v>0.33300000000000002</v>
      </c>
      <c r="I25" s="20">
        <v>0.16700000000000001</v>
      </c>
      <c r="J25" s="20">
        <v>0</v>
      </c>
      <c r="K25" s="36">
        <f t="shared" si="0"/>
        <v>0.5</v>
      </c>
    </row>
    <row r="26" spans="1:11" s="1" customFormat="1" ht="9.6" customHeight="1" x14ac:dyDescent="0.2">
      <c r="A26" s="10" t="s">
        <v>23</v>
      </c>
      <c r="B26" s="11" t="s">
        <v>8</v>
      </c>
      <c r="C26" s="40" t="s">
        <v>24</v>
      </c>
      <c r="D26" s="12" t="s">
        <v>10</v>
      </c>
      <c r="E26" s="3" t="s">
        <v>11</v>
      </c>
      <c r="F26" s="13">
        <v>0.4</v>
      </c>
      <c r="G26" s="13">
        <v>0.2</v>
      </c>
      <c r="H26" s="13">
        <v>0.2</v>
      </c>
      <c r="I26" s="13">
        <v>0.1</v>
      </c>
      <c r="J26" s="13">
        <v>0</v>
      </c>
      <c r="K26" s="36">
        <f t="shared" si="0"/>
        <v>0.60000000000000009</v>
      </c>
    </row>
    <row r="27" spans="1:11" s="1" customFormat="1" ht="9.6" customHeight="1" x14ac:dyDescent="0.2">
      <c r="A27" s="14"/>
      <c r="B27" s="15"/>
      <c r="C27" s="41"/>
      <c r="D27" s="16"/>
      <c r="E27" s="3" t="s">
        <v>12</v>
      </c>
      <c r="F27" s="13">
        <v>0.5</v>
      </c>
      <c r="G27" s="13">
        <v>0.1</v>
      </c>
      <c r="H27" s="13">
        <v>0.3</v>
      </c>
      <c r="I27" s="13">
        <v>0</v>
      </c>
      <c r="J27" s="13">
        <v>0</v>
      </c>
      <c r="K27" s="36">
        <f t="shared" si="0"/>
        <v>0.6</v>
      </c>
    </row>
    <row r="28" spans="1:11" s="1" customFormat="1" ht="9.6" customHeight="1" x14ac:dyDescent="0.2">
      <c r="A28" s="14"/>
      <c r="B28" s="15"/>
      <c r="C28" s="41"/>
      <c r="D28" s="16"/>
      <c r="E28" s="3" t="s">
        <v>13</v>
      </c>
      <c r="F28" s="13">
        <v>0.5</v>
      </c>
      <c r="G28" s="13">
        <v>0</v>
      </c>
      <c r="H28" s="13">
        <v>0.3</v>
      </c>
      <c r="I28" s="13">
        <v>0.1</v>
      </c>
      <c r="J28" s="13">
        <v>0</v>
      </c>
      <c r="K28" s="36">
        <f t="shared" si="0"/>
        <v>0.5</v>
      </c>
    </row>
    <row r="29" spans="1:11" s="1" customFormat="1" ht="9.6" customHeight="1" x14ac:dyDescent="0.2">
      <c r="A29" s="14"/>
      <c r="B29" s="15"/>
      <c r="C29" s="41"/>
      <c r="D29" s="16"/>
      <c r="E29" s="3" t="s">
        <v>14</v>
      </c>
      <c r="F29" s="13">
        <v>0.6</v>
      </c>
      <c r="G29" s="13">
        <v>0</v>
      </c>
      <c r="H29" s="13">
        <v>0.3</v>
      </c>
      <c r="I29" s="13">
        <v>0</v>
      </c>
      <c r="J29" s="13">
        <v>0</v>
      </c>
      <c r="K29" s="36">
        <f t="shared" si="0"/>
        <v>0.6</v>
      </c>
    </row>
    <row r="30" spans="1:11" s="1" customFormat="1" ht="9.6" customHeight="1" x14ac:dyDescent="0.2">
      <c r="A30" s="14"/>
      <c r="B30" s="15"/>
      <c r="C30" s="41"/>
      <c r="D30" s="16"/>
      <c r="E30" s="3" t="s">
        <v>15</v>
      </c>
      <c r="F30" s="13">
        <v>0.5</v>
      </c>
      <c r="G30" s="13">
        <v>0.1</v>
      </c>
      <c r="H30" s="13">
        <v>0.3</v>
      </c>
      <c r="I30" s="13">
        <v>0</v>
      </c>
      <c r="J30" s="13">
        <v>0</v>
      </c>
      <c r="K30" s="36">
        <f t="shared" si="0"/>
        <v>0.6</v>
      </c>
    </row>
    <row r="31" spans="1:11" s="1" customFormat="1" ht="9.6" customHeight="1" x14ac:dyDescent="0.2">
      <c r="A31" s="14"/>
      <c r="B31" s="15"/>
      <c r="C31" s="41"/>
      <c r="D31" s="16"/>
      <c r="E31" s="3" t="s">
        <v>16</v>
      </c>
      <c r="F31" s="13">
        <v>0.5</v>
      </c>
      <c r="G31" s="13">
        <v>0.2</v>
      </c>
      <c r="H31" s="13">
        <v>0.1</v>
      </c>
      <c r="I31" s="13">
        <v>0.1</v>
      </c>
      <c r="J31" s="13">
        <v>0</v>
      </c>
      <c r="K31" s="36">
        <f t="shared" si="0"/>
        <v>0.7</v>
      </c>
    </row>
    <row r="32" spans="1:11" s="1" customFormat="1" ht="9.6" customHeight="1" x14ac:dyDescent="0.2">
      <c r="A32" s="14"/>
      <c r="B32" s="15"/>
      <c r="C32" s="41"/>
      <c r="D32" s="16"/>
      <c r="E32" s="3" t="s">
        <v>17</v>
      </c>
      <c r="F32" s="13">
        <v>0.7</v>
      </c>
      <c r="G32" s="13">
        <v>0.1</v>
      </c>
      <c r="H32" s="13">
        <v>0</v>
      </c>
      <c r="I32" s="13">
        <v>0.1</v>
      </c>
      <c r="J32" s="13">
        <v>0</v>
      </c>
      <c r="K32" s="36">
        <f t="shared" si="0"/>
        <v>0.79999999999999993</v>
      </c>
    </row>
    <row r="33" spans="1:11" ht="9.6" customHeight="1" x14ac:dyDescent="0.2">
      <c r="A33" s="17"/>
      <c r="B33" s="18"/>
      <c r="C33" s="42"/>
      <c r="D33" s="19"/>
      <c r="E33" s="3" t="s">
        <v>18</v>
      </c>
      <c r="F33" s="20">
        <v>0.5</v>
      </c>
      <c r="G33" s="20">
        <v>0.3</v>
      </c>
      <c r="H33" s="20">
        <v>0</v>
      </c>
      <c r="I33" s="20">
        <v>0.1</v>
      </c>
      <c r="J33" s="20">
        <v>0</v>
      </c>
      <c r="K33" s="36">
        <f t="shared" si="0"/>
        <v>0.8</v>
      </c>
    </row>
    <row r="34" spans="1:11" s="1" customFormat="1" ht="9.6" customHeight="1" x14ac:dyDescent="0.2">
      <c r="A34" s="10" t="s">
        <v>23</v>
      </c>
      <c r="B34" s="11" t="s">
        <v>19</v>
      </c>
      <c r="C34" s="40" t="s">
        <v>25</v>
      </c>
      <c r="D34" s="12" t="s">
        <v>26</v>
      </c>
      <c r="E34" s="3" t="s">
        <v>11</v>
      </c>
      <c r="F34" s="13">
        <v>0.33300000000000002</v>
      </c>
      <c r="G34" s="13">
        <v>0.33300000000000002</v>
      </c>
      <c r="H34" s="13">
        <v>0.33300000000000002</v>
      </c>
      <c r="I34" s="13">
        <v>0</v>
      </c>
      <c r="J34" s="13">
        <v>0</v>
      </c>
      <c r="K34" s="36">
        <f t="shared" si="0"/>
        <v>0.66600000000000004</v>
      </c>
    </row>
    <row r="35" spans="1:11" s="1" customFormat="1" ht="9.6" customHeight="1" x14ac:dyDescent="0.2">
      <c r="A35" s="14"/>
      <c r="B35" s="15"/>
      <c r="C35" s="41"/>
      <c r="D35" s="16"/>
      <c r="E35" s="3" t="s">
        <v>12</v>
      </c>
      <c r="F35" s="13">
        <v>0.33300000000000002</v>
      </c>
      <c r="G35" s="13">
        <v>0.33300000000000002</v>
      </c>
      <c r="H35" s="13">
        <v>0.33300000000000002</v>
      </c>
      <c r="I35" s="13">
        <v>0</v>
      </c>
      <c r="J35" s="13">
        <v>0</v>
      </c>
      <c r="K35" s="36">
        <f t="shared" si="0"/>
        <v>0.66600000000000004</v>
      </c>
    </row>
    <row r="36" spans="1:11" s="1" customFormat="1" ht="9.6" customHeight="1" x14ac:dyDescent="0.2">
      <c r="A36" s="14"/>
      <c r="B36" s="15"/>
      <c r="C36" s="41"/>
      <c r="D36" s="16"/>
      <c r="E36" s="3" t="s">
        <v>13</v>
      </c>
      <c r="F36" s="13">
        <v>0</v>
      </c>
      <c r="G36" s="13">
        <v>0.33300000000000002</v>
      </c>
      <c r="H36" s="13">
        <v>0.33300000000000002</v>
      </c>
      <c r="I36" s="13">
        <v>0.33300000000000002</v>
      </c>
      <c r="J36" s="13">
        <v>0</v>
      </c>
      <c r="K36" s="36">
        <f t="shared" si="0"/>
        <v>0.33300000000000002</v>
      </c>
    </row>
    <row r="37" spans="1:11" s="1" customFormat="1" ht="9.6" customHeight="1" x14ac:dyDescent="0.2">
      <c r="A37" s="14"/>
      <c r="B37" s="15"/>
      <c r="C37" s="41"/>
      <c r="D37" s="16"/>
      <c r="E37" s="3" t="s">
        <v>14</v>
      </c>
      <c r="F37" s="13">
        <v>0</v>
      </c>
      <c r="G37" s="13">
        <v>0.33300000000000002</v>
      </c>
      <c r="H37" s="13">
        <v>0.66700000000000004</v>
      </c>
      <c r="I37" s="13">
        <v>0</v>
      </c>
      <c r="J37" s="13">
        <v>0</v>
      </c>
      <c r="K37" s="36">
        <f t="shared" si="0"/>
        <v>0.33300000000000002</v>
      </c>
    </row>
    <row r="38" spans="1:11" s="1" customFormat="1" ht="9.6" customHeight="1" x14ac:dyDescent="0.2">
      <c r="A38" s="14"/>
      <c r="B38" s="15"/>
      <c r="C38" s="41"/>
      <c r="D38" s="16"/>
      <c r="E38" s="3" t="s">
        <v>15</v>
      </c>
      <c r="F38" s="13">
        <v>0.33300000000000002</v>
      </c>
      <c r="G38" s="13">
        <v>0.33300000000000002</v>
      </c>
      <c r="H38" s="13">
        <v>0.33300000000000002</v>
      </c>
      <c r="I38" s="13">
        <v>0</v>
      </c>
      <c r="J38" s="13">
        <v>0</v>
      </c>
      <c r="K38" s="36">
        <f t="shared" si="0"/>
        <v>0.66600000000000004</v>
      </c>
    </row>
    <row r="39" spans="1:11" s="1" customFormat="1" ht="9.6" customHeight="1" x14ac:dyDescent="0.2">
      <c r="A39" s="14"/>
      <c r="B39" s="15"/>
      <c r="C39" s="41"/>
      <c r="D39" s="16"/>
      <c r="E39" s="3" t="s">
        <v>16</v>
      </c>
      <c r="F39" s="13">
        <v>0</v>
      </c>
      <c r="G39" s="13">
        <v>0.33300000000000002</v>
      </c>
      <c r="H39" s="13">
        <v>0.33300000000000002</v>
      </c>
      <c r="I39" s="13">
        <v>0.33300000000000002</v>
      </c>
      <c r="J39" s="13">
        <v>0</v>
      </c>
      <c r="K39" s="36">
        <f t="shared" si="0"/>
        <v>0.33300000000000002</v>
      </c>
    </row>
    <row r="40" spans="1:11" s="1" customFormat="1" ht="9.6" customHeight="1" x14ac:dyDescent="0.2">
      <c r="A40" s="14"/>
      <c r="B40" s="15"/>
      <c r="C40" s="41"/>
      <c r="D40" s="16"/>
      <c r="E40" s="3" t="s">
        <v>17</v>
      </c>
      <c r="F40" s="13">
        <v>0.66700000000000004</v>
      </c>
      <c r="G40" s="13">
        <v>0.33300000000000002</v>
      </c>
      <c r="H40" s="13">
        <v>0</v>
      </c>
      <c r="I40" s="13">
        <v>0</v>
      </c>
      <c r="J40" s="13">
        <v>0</v>
      </c>
      <c r="K40" s="36">
        <f t="shared" si="0"/>
        <v>1</v>
      </c>
    </row>
    <row r="41" spans="1:11" ht="9.6" customHeight="1" x14ac:dyDescent="0.2">
      <c r="A41" s="17"/>
      <c r="B41" s="18"/>
      <c r="C41" s="42"/>
      <c r="D41" s="19"/>
      <c r="E41" s="3" t="s">
        <v>18</v>
      </c>
      <c r="F41" s="20">
        <v>0.66700000000000004</v>
      </c>
      <c r="G41" s="20">
        <v>0.33300000000000002</v>
      </c>
      <c r="H41" s="20">
        <v>0</v>
      </c>
      <c r="I41" s="20">
        <v>0</v>
      </c>
      <c r="J41" s="20">
        <v>0</v>
      </c>
      <c r="K41" s="36">
        <f t="shared" si="0"/>
        <v>1</v>
      </c>
    </row>
    <row r="42" spans="1:11" s="1" customFormat="1" ht="9.6" customHeight="1" x14ac:dyDescent="0.2">
      <c r="A42" s="10" t="s">
        <v>27</v>
      </c>
      <c r="B42" s="11" t="s">
        <v>19</v>
      </c>
      <c r="C42" s="40" t="s">
        <v>28</v>
      </c>
      <c r="D42" s="12" t="s">
        <v>10</v>
      </c>
      <c r="E42" s="3" t="s">
        <v>11</v>
      </c>
      <c r="F42" s="13">
        <v>0.33300000000000002</v>
      </c>
      <c r="G42" s="13">
        <v>0</v>
      </c>
      <c r="H42" s="13">
        <v>0</v>
      </c>
      <c r="I42" s="13">
        <v>0.33300000000000002</v>
      </c>
      <c r="J42" s="13">
        <v>0.33300000000000002</v>
      </c>
      <c r="K42" s="36">
        <f t="shared" si="0"/>
        <v>0.33300000000000002</v>
      </c>
    </row>
    <row r="43" spans="1:11" s="1" customFormat="1" ht="9.6" customHeight="1" x14ac:dyDescent="0.2">
      <c r="A43" s="14"/>
      <c r="B43" s="15"/>
      <c r="C43" s="41"/>
      <c r="D43" s="16"/>
      <c r="E43" s="3" t="s">
        <v>12</v>
      </c>
      <c r="F43" s="13">
        <v>0.33300000000000002</v>
      </c>
      <c r="G43" s="13">
        <v>0</v>
      </c>
      <c r="H43" s="13">
        <v>0</v>
      </c>
      <c r="I43" s="13">
        <v>0</v>
      </c>
      <c r="J43" s="13">
        <v>0.66700000000000004</v>
      </c>
      <c r="K43" s="36">
        <f t="shared" si="0"/>
        <v>0.33300000000000002</v>
      </c>
    </row>
    <row r="44" spans="1:11" s="1" customFormat="1" ht="9.6" customHeight="1" x14ac:dyDescent="0.2">
      <c r="A44" s="14"/>
      <c r="B44" s="15"/>
      <c r="C44" s="41"/>
      <c r="D44" s="16"/>
      <c r="E44" s="3" t="s">
        <v>13</v>
      </c>
      <c r="F44" s="13">
        <v>0.33300000000000002</v>
      </c>
      <c r="G44" s="13">
        <v>0</v>
      </c>
      <c r="H44" s="13">
        <v>0</v>
      </c>
      <c r="I44" s="13">
        <v>0</v>
      </c>
      <c r="J44" s="13">
        <v>0.66700000000000004</v>
      </c>
      <c r="K44" s="36">
        <f t="shared" si="0"/>
        <v>0.33300000000000002</v>
      </c>
    </row>
    <row r="45" spans="1:11" s="1" customFormat="1" ht="9.6" customHeight="1" x14ac:dyDescent="0.2">
      <c r="A45" s="14"/>
      <c r="B45" s="15"/>
      <c r="C45" s="41"/>
      <c r="D45" s="16"/>
      <c r="E45" s="3" t="s">
        <v>14</v>
      </c>
      <c r="F45" s="13">
        <v>0.33300000000000002</v>
      </c>
      <c r="G45" s="13">
        <v>0</v>
      </c>
      <c r="H45" s="13">
        <v>0</v>
      </c>
      <c r="I45" s="13">
        <v>0</v>
      </c>
      <c r="J45" s="13">
        <v>0.66700000000000004</v>
      </c>
      <c r="K45" s="36">
        <f t="shared" si="0"/>
        <v>0.33300000000000002</v>
      </c>
    </row>
    <row r="46" spans="1:11" s="1" customFormat="1" ht="9.6" customHeight="1" x14ac:dyDescent="0.2">
      <c r="A46" s="14"/>
      <c r="B46" s="15"/>
      <c r="C46" s="41"/>
      <c r="D46" s="16"/>
      <c r="E46" s="3" t="s">
        <v>15</v>
      </c>
      <c r="F46" s="13">
        <v>0.33300000000000002</v>
      </c>
      <c r="G46" s="13">
        <v>0</v>
      </c>
      <c r="H46" s="13">
        <v>0</v>
      </c>
      <c r="I46" s="13">
        <v>0</v>
      </c>
      <c r="J46" s="13">
        <v>0.66700000000000004</v>
      </c>
      <c r="K46" s="36">
        <f t="shared" si="0"/>
        <v>0.33300000000000002</v>
      </c>
    </row>
    <row r="47" spans="1:11" s="1" customFormat="1" ht="9.6" customHeight="1" x14ac:dyDescent="0.2">
      <c r="A47" s="14"/>
      <c r="B47" s="15"/>
      <c r="C47" s="41"/>
      <c r="D47" s="16"/>
      <c r="E47" s="3" t="s">
        <v>16</v>
      </c>
      <c r="F47" s="13">
        <v>0.33300000000000002</v>
      </c>
      <c r="G47" s="13">
        <v>0</v>
      </c>
      <c r="H47" s="13">
        <v>0.16700000000000001</v>
      </c>
      <c r="I47" s="13">
        <v>0</v>
      </c>
      <c r="J47" s="13">
        <v>0.5</v>
      </c>
      <c r="K47" s="36">
        <f t="shared" si="0"/>
        <v>0.33300000000000002</v>
      </c>
    </row>
    <row r="48" spans="1:11" s="1" customFormat="1" ht="9.6" customHeight="1" x14ac:dyDescent="0.2">
      <c r="A48" s="14"/>
      <c r="B48" s="15"/>
      <c r="C48" s="41"/>
      <c r="D48" s="16"/>
      <c r="E48" s="3" t="s">
        <v>17</v>
      </c>
      <c r="F48" s="13">
        <v>0.33300000000000002</v>
      </c>
      <c r="G48" s="13">
        <v>0</v>
      </c>
      <c r="H48" s="13">
        <v>0.16700000000000001</v>
      </c>
      <c r="I48" s="13">
        <v>0.16700000000000001</v>
      </c>
      <c r="J48" s="13">
        <v>0.16700000000000001</v>
      </c>
      <c r="K48" s="36">
        <f t="shared" si="0"/>
        <v>0.33300000000000002</v>
      </c>
    </row>
    <row r="49" spans="1:11" ht="9.6" customHeight="1" x14ac:dyDescent="0.2">
      <c r="A49" s="17"/>
      <c r="B49" s="18"/>
      <c r="C49" s="42"/>
      <c r="D49" s="19"/>
      <c r="E49" s="3" t="s">
        <v>18</v>
      </c>
      <c r="F49" s="20">
        <v>0.33300000000000002</v>
      </c>
      <c r="G49" s="20">
        <v>0</v>
      </c>
      <c r="H49" s="20">
        <v>0</v>
      </c>
      <c r="I49" s="20">
        <v>0.33300000000000002</v>
      </c>
      <c r="J49" s="20">
        <v>0.33300000000000002</v>
      </c>
      <c r="K49" s="36">
        <f t="shared" si="0"/>
        <v>0.33300000000000002</v>
      </c>
    </row>
    <row r="50" spans="1:11" s="1" customFormat="1" ht="9.6" customHeight="1" x14ac:dyDescent="0.15">
      <c r="A50" s="10" t="s">
        <v>27</v>
      </c>
      <c r="B50" s="11" t="s">
        <v>29</v>
      </c>
      <c r="C50" s="43" t="s">
        <v>30</v>
      </c>
      <c r="D50" s="21" t="s">
        <v>10</v>
      </c>
      <c r="E50" s="3" t="s">
        <v>11</v>
      </c>
      <c r="F50" s="13">
        <v>0.28599999999999998</v>
      </c>
      <c r="G50" s="13">
        <v>0</v>
      </c>
      <c r="H50" s="13">
        <v>0</v>
      </c>
      <c r="I50" s="13">
        <v>0.42899999999999999</v>
      </c>
      <c r="J50" s="13">
        <v>0.28599999999999998</v>
      </c>
      <c r="K50" s="36">
        <f t="shared" si="0"/>
        <v>0.28599999999999998</v>
      </c>
    </row>
    <row r="51" spans="1:11" s="1" customFormat="1" ht="9.6" customHeight="1" x14ac:dyDescent="0.15">
      <c r="A51" s="14"/>
      <c r="B51" s="15"/>
      <c r="C51" s="44"/>
      <c r="D51" s="22"/>
      <c r="E51" s="23" t="s">
        <v>12</v>
      </c>
      <c r="F51" s="24">
        <v>0.28599999999999998</v>
      </c>
      <c r="G51" s="24">
        <v>0</v>
      </c>
      <c r="H51" s="24">
        <v>0.42899999999999999</v>
      </c>
      <c r="I51" s="24">
        <v>0.14299999999999999</v>
      </c>
      <c r="J51" s="24">
        <v>0.14299999999999999</v>
      </c>
      <c r="K51" s="36">
        <f t="shared" si="0"/>
        <v>0.28599999999999998</v>
      </c>
    </row>
    <row r="52" spans="1:11" s="1" customFormat="1" ht="9.6" customHeight="1" x14ac:dyDescent="0.2">
      <c r="A52" s="14"/>
      <c r="B52" s="15"/>
      <c r="C52" s="45"/>
      <c r="D52" s="25"/>
      <c r="E52" s="26" t="s">
        <v>13</v>
      </c>
      <c r="F52" s="27">
        <v>0.28599999999999998</v>
      </c>
      <c r="G52" s="27">
        <v>0</v>
      </c>
      <c r="H52" s="27">
        <v>0</v>
      </c>
      <c r="I52" s="27">
        <v>0.14299999999999999</v>
      </c>
      <c r="J52" s="27">
        <v>0.57099999999999995</v>
      </c>
      <c r="K52" s="36">
        <f t="shared" si="0"/>
        <v>0.28599999999999998</v>
      </c>
    </row>
    <row r="53" spans="1:11" s="1" customFormat="1" ht="9.6" customHeight="1" x14ac:dyDescent="0.2">
      <c r="A53" s="14"/>
      <c r="B53" s="15"/>
      <c r="C53" s="45"/>
      <c r="D53" s="25"/>
      <c r="E53" s="3" t="s">
        <v>14</v>
      </c>
      <c r="F53" s="13">
        <v>0.28599999999999998</v>
      </c>
      <c r="G53" s="13">
        <v>0</v>
      </c>
      <c r="H53" s="13">
        <v>0</v>
      </c>
      <c r="I53" s="13">
        <v>0.42899999999999999</v>
      </c>
      <c r="J53" s="13">
        <v>0.28599999999999998</v>
      </c>
      <c r="K53" s="36">
        <f t="shared" si="0"/>
        <v>0.28599999999999998</v>
      </c>
    </row>
    <row r="54" spans="1:11" s="1" customFormat="1" ht="9.6" customHeight="1" x14ac:dyDescent="0.2">
      <c r="A54" s="14"/>
      <c r="B54" s="15"/>
      <c r="C54" s="45"/>
      <c r="D54" s="25"/>
      <c r="E54" s="3" t="s">
        <v>15</v>
      </c>
      <c r="F54" s="13">
        <v>0.28599999999999998</v>
      </c>
      <c r="G54" s="13">
        <v>0</v>
      </c>
      <c r="H54" s="13">
        <v>0.14299999999999999</v>
      </c>
      <c r="I54" s="13">
        <v>0.28599999999999998</v>
      </c>
      <c r="J54" s="13">
        <v>0.28599999999999998</v>
      </c>
      <c r="K54" s="36">
        <f t="shared" si="0"/>
        <v>0.28599999999999998</v>
      </c>
    </row>
    <row r="55" spans="1:11" s="1" customFormat="1" ht="9.6" customHeight="1" x14ac:dyDescent="0.2">
      <c r="A55" s="14"/>
      <c r="B55" s="15"/>
      <c r="C55" s="45"/>
      <c r="D55" s="25"/>
      <c r="E55" s="3" t="s">
        <v>16</v>
      </c>
      <c r="F55" s="13">
        <v>0.28599999999999998</v>
      </c>
      <c r="G55" s="13">
        <v>0</v>
      </c>
      <c r="H55" s="13">
        <v>0.28599999999999998</v>
      </c>
      <c r="I55" s="13">
        <v>0.28599999999999998</v>
      </c>
      <c r="J55" s="13">
        <v>0.14299999999999999</v>
      </c>
      <c r="K55" s="36">
        <f t="shared" si="0"/>
        <v>0.28599999999999998</v>
      </c>
    </row>
    <row r="56" spans="1:11" s="1" customFormat="1" ht="9.6" customHeight="1" x14ac:dyDescent="0.2">
      <c r="A56" s="14"/>
      <c r="B56" s="15"/>
      <c r="C56" s="45"/>
      <c r="D56" s="25"/>
      <c r="E56" s="3" t="s">
        <v>17</v>
      </c>
      <c r="F56" s="13">
        <v>0.42899999999999999</v>
      </c>
      <c r="G56" s="13">
        <v>0.28599999999999998</v>
      </c>
      <c r="H56" s="13">
        <v>0.14299999999999999</v>
      </c>
      <c r="I56" s="13">
        <v>0.14299999999999999</v>
      </c>
      <c r="J56" s="13">
        <v>0</v>
      </c>
      <c r="K56" s="36">
        <f t="shared" si="0"/>
        <v>0.71499999999999997</v>
      </c>
    </row>
    <row r="57" spans="1:11" ht="9.6" customHeight="1" x14ac:dyDescent="0.2">
      <c r="A57" s="17"/>
      <c r="B57" s="18"/>
      <c r="C57" s="46"/>
      <c r="D57" s="28"/>
      <c r="E57" s="3" t="s">
        <v>18</v>
      </c>
      <c r="F57" s="20">
        <v>0.28599999999999998</v>
      </c>
      <c r="G57" s="20">
        <v>0</v>
      </c>
      <c r="H57" s="20">
        <v>0.14299999999999999</v>
      </c>
      <c r="I57" s="20">
        <v>0.57099999999999995</v>
      </c>
      <c r="J57" s="20">
        <v>0</v>
      </c>
      <c r="K57" s="36">
        <f t="shared" si="0"/>
        <v>0.28599999999999998</v>
      </c>
    </row>
    <row r="58" spans="1:11" s="1" customFormat="1" ht="9.6" customHeight="1" x14ac:dyDescent="0.2">
      <c r="A58" s="10" t="s">
        <v>31</v>
      </c>
      <c r="B58" s="11" t="s">
        <v>19</v>
      </c>
      <c r="C58" s="40" t="s">
        <v>32</v>
      </c>
      <c r="D58" s="12" t="s">
        <v>33</v>
      </c>
      <c r="E58" s="3" t="s">
        <v>11</v>
      </c>
      <c r="F58" s="13">
        <v>0.66700000000000004</v>
      </c>
      <c r="G58" s="13">
        <v>0</v>
      </c>
      <c r="H58" s="13">
        <v>0.33300000000000002</v>
      </c>
      <c r="I58" s="13">
        <v>0</v>
      </c>
      <c r="J58" s="13">
        <v>0</v>
      </c>
      <c r="K58" s="36">
        <f t="shared" si="0"/>
        <v>0.66700000000000004</v>
      </c>
    </row>
    <row r="59" spans="1:11" s="1" customFormat="1" ht="9.6" customHeight="1" x14ac:dyDescent="0.2">
      <c r="A59" s="14"/>
      <c r="B59" s="15"/>
      <c r="C59" s="41"/>
      <c r="D59" s="16"/>
      <c r="E59" s="3" t="s">
        <v>12</v>
      </c>
      <c r="F59" s="13">
        <v>0.33300000000000002</v>
      </c>
      <c r="G59" s="13">
        <v>0.33300000000000002</v>
      </c>
      <c r="H59" s="13">
        <v>0.33300000000000002</v>
      </c>
      <c r="I59" s="13">
        <v>0</v>
      </c>
      <c r="J59" s="13">
        <v>0</v>
      </c>
      <c r="K59" s="36">
        <f t="shared" si="0"/>
        <v>0.66600000000000004</v>
      </c>
    </row>
    <row r="60" spans="1:11" s="1" customFormat="1" ht="9.6" customHeight="1" x14ac:dyDescent="0.2">
      <c r="A60" s="14"/>
      <c r="B60" s="15"/>
      <c r="C60" s="41"/>
      <c r="D60" s="16"/>
      <c r="E60" s="3" t="s">
        <v>13</v>
      </c>
      <c r="F60" s="13">
        <v>0.33300000000000002</v>
      </c>
      <c r="G60" s="13">
        <v>0.33300000000000002</v>
      </c>
      <c r="H60" s="13">
        <v>0.33300000000000002</v>
      </c>
      <c r="I60" s="13">
        <v>0</v>
      </c>
      <c r="J60" s="13">
        <v>0</v>
      </c>
      <c r="K60" s="36">
        <f t="shared" si="0"/>
        <v>0.66600000000000004</v>
      </c>
    </row>
    <row r="61" spans="1:11" s="1" customFormat="1" ht="9.6" customHeight="1" x14ac:dyDescent="0.2">
      <c r="A61" s="14"/>
      <c r="B61" s="15"/>
      <c r="C61" s="41"/>
      <c r="D61" s="16"/>
      <c r="E61" s="3" t="s">
        <v>14</v>
      </c>
      <c r="F61" s="13">
        <v>0</v>
      </c>
      <c r="G61" s="13">
        <v>0.33300000000000002</v>
      </c>
      <c r="H61" s="13">
        <v>0.66700000000000004</v>
      </c>
      <c r="I61" s="13">
        <v>0</v>
      </c>
      <c r="J61" s="13">
        <v>0</v>
      </c>
      <c r="K61" s="36">
        <f t="shared" si="0"/>
        <v>0.33300000000000002</v>
      </c>
    </row>
    <row r="62" spans="1:11" s="1" customFormat="1" ht="9.6" customHeight="1" x14ac:dyDescent="0.2">
      <c r="A62" s="14"/>
      <c r="B62" s="15"/>
      <c r="C62" s="41"/>
      <c r="D62" s="16"/>
      <c r="E62" s="3" t="s">
        <v>15</v>
      </c>
      <c r="F62" s="13">
        <v>0.33300000000000002</v>
      </c>
      <c r="G62" s="13">
        <v>0.33300000000000002</v>
      </c>
      <c r="H62" s="13">
        <v>0.33300000000000002</v>
      </c>
      <c r="I62" s="13">
        <v>0</v>
      </c>
      <c r="J62" s="13">
        <v>0</v>
      </c>
      <c r="K62" s="36">
        <f t="shared" si="0"/>
        <v>0.66600000000000004</v>
      </c>
    </row>
    <row r="63" spans="1:11" s="1" customFormat="1" ht="9.6" customHeight="1" x14ac:dyDescent="0.2">
      <c r="A63" s="14"/>
      <c r="B63" s="15"/>
      <c r="C63" s="41"/>
      <c r="D63" s="16"/>
      <c r="E63" s="3" t="s">
        <v>16</v>
      </c>
      <c r="F63" s="13">
        <v>0.33300000000000002</v>
      </c>
      <c r="G63" s="13">
        <v>0</v>
      </c>
      <c r="H63" s="13">
        <v>0</v>
      </c>
      <c r="I63" s="13">
        <v>0.66700000000000004</v>
      </c>
      <c r="J63" s="13">
        <v>0</v>
      </c>
      <c r="K63" s="36">
        <f t="shared" si="0"/>
        <v>0.33300000000000002</v>
      </c>
    </row>
    <row r="64" spans="1:11" s="1" customFormat="1" ht="9.6" customHeight="1" x14ac:dyDescent="0.2">
      <c r="A64" s="14"/>
      <c r="B64" s="15"/>
      <c r="C64" s="41"/>
      <c r="D64" s="16"/>
      <c r="E64" s="3" t="s">
        <v>17</v>
      </c>
      <c r="F64" s="13">
        <v>0.66700000000000004</v>
      </c>
      <c r="G64" s="13">
        <v>0</v>
      </c>
      <c r="H64" s="13">
        <v>0.33300000000000002</v>
      </c>
      <c r="I64" s="13">
        <v>0</v>
      </c>
      <c r="J64" s="13">
        <v>0</v>
      </c>
      <c r="K64" s="36">
        <f t="shared" si="0"/>
        <v>0.66700000000000004</v>
      </c>
    </row>
    <row r="65" spans="1:11" ht="9.6" customHeight="1" x14ac:dyDescent="0.2">
      <c r="A65" s="17"/>
      <c r="B65" s="18"/>
      <c r="C65" s="42"/>
      <c r="D65" s="19"/>
      <c r="E65" s="3" t="s">
        <v>18</v>
      </c>
      <c r="F65" s="20">
        <v>0.33300000000000002</v>
      </c>
      <c r="G65" s="20">
        <v>0.33300000000000002</v>
      </c>
      <c r="H65" s="20">
        <v>0.33300000000000002</v>
      </c>
      <c r="I65" s="20">
        <v>0</v>
      </c>
      <c r="J65" s="20">
        <v>0</v>
      </c>
      <c r="K65" s="36">
        <f t="shared" si="0"/>
        <v>0.66600000000000004</v>
      </c>
    </row>
    <row r="66" spans="1:11" s="1" customFormat="1" ht="9.6" customHeight="1" x14ac:dyDescent="0.2">
      <c r="A66" s="10" t="s">
        <v>34</v>
      </c>
      <c r="B66" s="11" t="s">
        <v>19</v>
      </c>
      <c r="C66" s="40" t="s">
        <v>35</v>
      </c>
      <c r="D66" s="12" t="s">
        <v>26</v>
      </c>
      <c r="E66" s="3" t="s">
        <v>11</v>
      </c>
      <c r="F66" s="13">
        <v>0.5</v>
      </c>
      <c r="G66" s="13">
        <v>0.3</v>
      </c>
      <c r="H66" s="13">
        <v>0.1</v>
      </c>
      <c r="I66" s="13">
        <v>0.1</v>
      </c>
      <c r="J66" s="13">
        <v>0</v>
      </c>
      <c r="K66" s="36">
        <f t="shared" si="0"/>
        <v>0.8</v>
      </c>
    </row>
    <row r="67" spans="1:11" s="1" customFormat="1" ht="9.6" customHeight="1" x14ac:dyDescent="0.2">
      <c r="A67" s="14"/>
      <c r="B67" s="15"/>
      <c r="C67" s="41"/>
      <c r="D67" s="16"/>
      <c r="E67" s="3" t="s">
        <v>12</v>
      </c>
      <c r="F67" s="13">
        <v>0.8</v>
      </c>
      <c r="G67" s="13">
        <v>0.1</v>
      </c>
      <c r="H67" s="13">
        <v>0</v>
      </c>
      <c r="I67" s="13">
        <v>0.1</v>
      </c>
      <c r="J67" s="13">
        <v>0</v>
      </c>
      <c r="K67" s="36">
        <f t="shared" ref="K67:K130" si="1">F67+G67</f>
        <v>0.9</v>
      </c>
    </row>
    <row r="68" spans="1:11" s="1" customFormat="1" ht="9.6" customHeight="1" x14ac:dyDescent="0.2">
      <c r="A68" s="14"/>
      <c r="B68" s="15"/>
      <c r="C68" s="41"/>
      <c r="D68" s="16"/>
      <c r="E68" s="3" t="s">
        <v>13</v>
      </c>
      <c r="F68" s="13">
        <v>0.6</v>
      </c>
      <c r="G68" s="13">
        <v>0.1</v>
      </c>
      <c r="H68" s="13">
        <v>0.2</v>
      </c>
      <c r="I68" s="13">
        <v>0.1</v>
      </c>
      <c r="J68" s="13">
        <v>0</v>
      </c>
      <c r="K68" s="36">
        <f t="shared" si="1"/>
        <v>0.7</v>
      </c>
    </row>
    <row r="69" spans="1:11" s="1" customFormat="1" ht="9.6" customHeight="1" x14ac:dyDescent="0.2">
      <c r="A69" s="14"/>
      <c r="B69" s="15"/>
      <c r="C69" s="41"/>
      <c r="D69" s="16"/>
      <c r="E69" s="3" t="s">
        <v>14</v>
      </c>
      <c r="F69" s="13">
        <v>0.6</v>
      </c>
      <c r="G69" s="13">
        <v>0.2</v>
      </c>
      <c r="H69" s="13">
        <v>0.1</v>
      </c>
      <c r="I69" s="13">
        <v>0.1</v>
      </c>
      <c r="J69" s="13">
        <v>0</v>
      </c>
      <c r="K69" s="36">
        <f t="shared" si="1"/>
        <v>0.8</v>
      </c>
    </row>
    <row r="70" spans="1:11" s="1" customFormat="1" ht="9.6" customHeight="1" x14ac:dyDescent="0.2">
      <c r="A70" s="14"/>
      <c r="B70" s="15"/>
      <c r="C70" s="41"/>
      <c r="D70" s="16"/>
      <c r="E70" s="3" t="s">
        <v>15</v>
      </c>
      <c r="F70" s="13">
        <v>0.8</v>
      </c>
      <c r="G70" s="13">
        <v>0</v>
      </c>
      <c r="H70" s="13">
        <v>0.1</v>
      </c>
      <c r="I70" s="13">
        <v>0.1</v>
      </c>
      <c r="J70" s="13">
        <v>0</v>
      </c>
      <c r="K70" s="36">
        <f t="shared" si="1"/>
        <v>0.8</v>
      </c>
    </row>
    <row r="71" spans="1:11" s="1" customFormat="1" ht="9.6" customHeight="1" x14ac:dyDescent="0.2">
      <c r="A71" s="14"/>
      <c r="B71" s="15"/>
      <c r="C71" s="41"/>
      <c r="D71" s="16"/>
      <c r="E71" s="3" t="s">
        <v>16</v>
      </c>
      <c r="F71" s="13">
        <v>0.6</v>
      </c>
      <c r="G71" s="13">
        <v>0.2</v>
      </c>
      <c r="H71" s="13">
        <v>0</v>
      </c>
      <c r="I71" s="13">
        <v>0.2</v>
      </c>
      <c r="J71" s="13">
        <v>0</v>
      </c>
      <c r="K71" s="36">
        <f t="shared" si="1"/>
        <v>0.8</v>
      </c>
    </row>
    <row r="72" spans="1:11" s="1" customFormat="1" ht="9.6" customHeight="1" x14ac:dyDescent="0.2">
      <c r="A72" s="14"/>
      <c r="B72" s="15"/>
      <c r="C72" s="41"/>
      <c r="D72" s="16"/>
      <c r="E72" s="3" t="s">
        <v>17</v>
      </c>
      <c r="F72" s="13">
        <v>0.8</v>
      </c>
      <c r="G72" s="13">
        <v>0</v>
      </c>
      <c r="H72" s="13">
        <v>0.1</v>
      </c>
      <c r="I72" s="13">
        <v>0.1</v>
      </c>
      <c r="J72" s="13">
        <v>0</v>
      </c>
      <c r="K72" s="36">
        <f t="shared" si="1"/>
        <v>0.8</v>
      </c>
    </row>
    <row r="73" spans="1:11" ht="9.6" customHeight="1" x14ac:dyDescent="0.2">
      <c r="A73" s="17"/>
      <c r="B73" s="18"/>
      <c r="C73" s="42"/>
      <c r="D73" s="19"/>
      <c r="E73" s="3" t="s">
        <v>18</v>
      </c>
      <c r="F73" s="20">
        <v>0.8</v>
      </c>
      <c r="G73" s="20">
        <v>0.1</v>
      </c>
      <c r="H73" s="20">
        <v>0</v>
      </c>
      <c r="I73" s="20">
        <v>0.1</v>
      </c>
      <c r="J73" s="20">
        <v>0</v>
      </c>
      <c r="K73" s="36">
        <f t="shared" si="1"/>
        <v>0.9</v>
      </c>
    </row>
    <row r="74" spans="1:11" s="1" customFormat="1" ht="9.6" customHeight="1" x14ac:dyDescent="0.2">
      <c r="A74" s="10" t="s">
        <v>36</v>
      </c>
      <c r="B74" s="11" t="s">
        <v>19</v>
      </c>
      <c r="C74" s="40" t="s">
        <v>37</v>
      </c>
      <c r="D74" s="12" t="s">
        <v>10</v>
      </c>
      <c r="E74" s="3" t="s">
        <v>11</v>
      </c>
      <c r="F74" s="13">
        <v>0.26700000000000002</v>
      </c>
      <c r="G74" s="13">
        <v>0</v>
      </c>
      <c r="H74" s="13">
        <v>0.26700000000000002</v>
      </c>
      <c r="I74" s="13">
        <v>0.2</v>
      </c>
      <c r="J74" s="13">
        <v>0.2</v>
      </c>
      <c r="K74" s="36">
        <f t="shared" si="1"/>
        <v>0.26700000000000002</v>
      </c>
    </row>
    <row r="75" spans="1:11" s="1" customFormat="1" ht="9.6" customHeight="1" x14ac:dyDescent="0.2">
      <c r="A75" s="14"/>
      <c r="B75" s="15"/>
      <c r="C75" s="41"/>
      <c r="D75" s="16"/>
      <c r="E75" s="3" t="s">
        <v>12</v>
      </c>
      <c r="F75" s="13">
        <v>0.26700000000000002</v>
      </c>
      <c r="G75" s="13">
        <v>0</v>
      </c>
      <c r="H75" s="13">
        <v>0.2</v>
      </c>
      <c r="I75" s="13">
        <v>0.2</v>
      </c>
      <c r="J75" s="13">
        <v>0.26700000000000002</v>
      </c>
      <c r="K75" s="36">
        <f t="shared" si="1"/>
        <v>0.26700000000000002</v>
      </c>
    </row>
    <row r="76" spans="1:11" s="1" customFormat="1" ht="9.6" customHeight="1" x14ac:dyDescent="0.2">
      <c r="A76" s="14"/>
      <c r="B76" s="15"/>
      <c r="C76" s="41"/>
      <c r="D76" s="16"/>
      <c r="E76" s="3" t="s">
        <v>13</v>
      </c>
      <c r="F76" s="13">
        <v>0.26700000000000002</v>
      </c>
      <c r="G76" s="13">
        <v>0</v>
      </c>
      <c r="H76" s="13">
        <v>0.13300000000000001</v>
      </c>
      <c r="I76" s="13">
        <v>0.2</v>
      </c>
      <c r="J76" s="13">
        <v>0.4</v>
      </c>
      <c r="K76" s="36">
        <f t="shared" si="1"/>
        <v>0.26700000000000002</v>
      </c>
    </row>
    <row r="77" spans="1:11" s="1" customFormat="1" ht="9.6" customHeight="1" x14ac:dyDescent="0.2">
      <c r="A77" s="14"/>
      <c r="B77" s="15"/>
      <c r="C77" s="41"/>
      <c r="D77" s="16"/>
      <c r="E77" s="3" t="s">
        <v>14</v>
      </c>
      <c r="F77" s="13">
        <v>0.26700000000000002</v>
      </c>
      <c r="G77" s="13">
        <v>0</v>
      </c>
      <c r="H77" s="13">
        <v>0.26700000000000002</v>
      </c>
      <c r="I77" s="13">
        <v>0.2</v>
      </c>
      <c r="J77" s="13">
        <v>0.2</v>
      </c>
      <c r="K77" s="36">
        <f t="shared" si="1"/>
        <v>0.26700000000000002</v>
      </c>
    </row>
    <row r="78" spans="1:11" s="1" customFormat="1" ht="9.6" customHeight="1" x14ac:dyDescent="0.2">
      <c r="A78" s="14"/>
      <c r="B78" s="15"/>
      <c r="C78" s="41"/>
      <c r="D78" s="16"/>
      <c r="E78" s="3" t="s">
        <v>15</v>
      </c>
      <c r="F78" s="13">
        <v>0.26700000000000002</v>
      </c>
      <c r="G78" s="13">
        <v>0</v>
      </c>
      <c r="H78" s="13">
        <v>0.2</v>
      </c>
      <c r="I78" s="13">
        <v>0.2</v>
      </c>
      <c r="J78" s="13">
        <v>0.26700000000000002</v>
      </c>
      <c r="K78" s="36">
        <f t="shared" si="1"/>
        <v>0.26700000000000002</v>
      </c>
    </row>
    <row r="79" spans="1:11" s="1" customFormat="1" ht="9.6" customHeight="1" x14ac:dyDescent="0.2">
      <c r="A79" s="14"/>
      <c r="B79" s="15"/>
      <c r="C79" s="41"/>
      <c r="D79" s="16"/>
      <c r="E79" s="3" t="s">
        <v>16</v>
      </c>
      <c r="F79" s="13">
        <v>0.2</v>
      </c>
      <c r="G79" s="13">
        <v>0</v>
      </c>
      <c r="H79" s="13">
        <v>0.13300000000000001</v>
      </c>
      <c r="I79" s="13">
        <v>6.7000000000000004E-2</v>
      </c>
      <c r="J79" s="13">
        <v>0.53300000000000003</v>
      </c>
      <c r="K79" s="36">
        <f t="shared" si="1"/>
        <v>0.2</v>
      </c>
    </row>
    <row r="80" spans="1:11" s="1" customFormat="1" ht="9.6" customHeight="1" x14ac:dyDescent="0.2">
      <c r="A80" s="14"/>
      <c r="B80" s="15"/>
      <c r="C80" s="41"/>
      <c r="D80" s="16"/>
      <c r="E80" s="3" t="s">
        <v>17</v>
      </c>
      <c r="F80" s="13">
        <v>0.26700000000000002</v>
      </c>
      <c r="G80" s="13">
        <v>6.7000000000000004E-2</v>
      </c>
      <c r="H80" s="13">
        <v>0.2</v>
      </c>
      <c r="I80" s="13">
        <v>0.2</v>
      </c>
      <c r="J80" s="13">
        <v>0.2</v>
      </c>
      <c r="K80" s="36">
        <f t="shared" si="1"/>
        <v>0.33400000000000002</v>
      </c>
    </row>
    <row r="81" spans="1:11" ht="9.6" customHeight="1" x14ac:dyDescent="0.2">
      <c r="A81" s="17"/>
      <c r="B81" s="18"/>
      <c r="C81" s="42"/>
      <c r="D81" s="19"/>
      <c r="E81" s="3" t="s">
        <v>18</v>
      </c>
      <c r="F81" s="20">
        <v>0.26700000000000002</v>
      </c>
      <c r="G81" s="20">
        <v>0</v>
      </c>
      <c r="H81" s="20">
        <v>0.13300000000000001</v>
      </c>
      <c r="I81" s="20">
        <v>0.2</v>
      </c>
      <c r="J81" s="20">
        <v>0.33300000000000002</v>
      </c>
      <c r="K81" s="36">
        <f t="shared" si="1"/>
        <v>0.26700000000000002</v>
      </c>
    </row>
    <row r="82" spans="1:11" s="1" customFormat="1" ht="9.6" customHeight="1" x14ac:dyDescent="0.2">
      <c r="A82" s="10" t="s">
        <v>38</v>
      </c>
      <c r="B82" s="11" t="s">
        <v>19</v>
      </c>
      <c r="C82" s="40" t="s">
        <v>39</v>
      </c>
      <c r="D82" s="12" t="s">
        <v>33</v>
      </c>
      <c r="E82" s="3" t="s">
        <v>11</v>
      </c>
      <c r="F82" s="13">
        <v>0.2</v>
      </c>
      <c r="G82" s="13">
        <v>0.6</v>
      </c>
      <c r="H82" s="13">
        <v>0</v>
      </c>
      <c r="I82" s="13">
        <v>0.2</v>
      </c>
      <c r="J82" s="13">
        <v>0</v>
      </c>
      <c r="K82" s="36">
        <f t="shared" si="1"/>
        <v>0.8</v>
      </c>
    </row>
    <row r="83" spans="1:11" s="1" customFormat="1" ht="9.6" customHeight="1" x14ac:dyDescent="0.2">
      <c r="A83" s="14"/>
      <c r="B83" s="15"/>
      <c r="C83" s="41"/>
      <c r="D83" s="16"/>
      <c r="E83" s="3" t="s">
        <v>12</v>
      </c>
      <c r="F83" s="13">
        <v>0.2</v>
      </c>
      <c r="G83" s="13">
        <v>0.6</v>
      </c>
      <c r="H83" s="13">
        <v>0</v>
      </c>
      <c r="I83" s="13">
        <v>0.2</v>
      </c>
      <c r="J83" s="13">
        <v>0</v>
      </c>
      <c r="K83" s="36">
        <f t="shared" si="1"/>
        <v>0.8</v>
      </c>
    </row>
    <row r="84" spans="1:11" s="1" customFormat="1" ht="9.6" customHeight="1" x14ac:dyDescent="0.2">
      <c r="A84" s="14"/>
      <c r="B84" s="15"/>
      <c r="C84" s="41"/>
      <c r="D84" s="16"/>
      <c r="E84" s="3" t="s">
        <v>13</v>
      </c>
      <c r="F84" s="13">
        <v>0.2</v>
      </c>
      <c r="G84" s="13">
        <v>0.4</v>
      </c>
      <c r="H84" s="13">
        <v>0.2</v>
      </c>
      <c r="I84" s="13">
        <v>0.2</v>
      </c>
      <c r="J84" s="13">
        <v>0</v>
      </c>
      <c r="K84" s="36">
        <f t="shared" si="1"/>
        <v>0.60000000000000009</v>
      </c>
    </row>
    <row r="85" spans="1:11" s="1" customFormat="1" ht="9.6" customHeight="1" x14ac:dyDescent="0.2">
      <c r="A85" s="14"/>
      <c r="B85" s="15"/>
      <c r="C85" s="41"/>
      <c r="D85" s="16"/>
      <c r="E85" s="3" t="s">
        <v>14</v>
      </c>
      <c r="F85" s="13">
        <v>0.4</v>
      </c>
      <c r="G85" s="13">
        <v>0.2</v>
      </c>
      <c r="H85" s="13">
        <v>0</v>
      </c>
      <c r="I85" s="13">
        <v>0.4</v>
      </c>
      <c r="J85" s="13">
        <v>0</v>
      </c>
      <c r="K85" s="36">
        <f t="shared" si="1"/>
        <v>0.60000000000000009</v>
      </c>
    </row>
    <row r="86" spans="1:11" s="1" customFormat="1" ht="9.6" customHeight="1" x14ac:dyDescent="0.2">
      <c r="A86" s="14"/>
      <c r="B86" s="15"/>
      <c r="C86" s="41"/>
      <c r="D86" s="16"/>
      <c r="E86" s="3" t="s">
        <v>15</v>
      </c>
      <c r="F86" s="13">
        <v>0.2</v>
      </c>
      <c r="G86" s="13">
        <v>0.4</v>
      </c>
      <c r="H86" s="13">
        <v>0.2</v>
      </c>
      <c r="I86" s="13">
        <v>0.2</v>
      </c>
      <c r="J86" s="13">
        <v>0</v>
      </c>
      <c r="K86" s="36">
        <f t="shared" si="1"/>
        <v>0.60000000000000009</v>
      </c>
    </row>
    <row r="87" spans="1:11" s="1" customFormat="1" ht="9.6" customHeight="1" x14ac:dyDescent="0.2">
      <c r="A87" s="14"/>
      <c r="B87" s="15"/>
      <c r="C87" s="41"/>
      <c r="D87" s="16"/>
      <c r="E87" s="3" t="s">
        <v>16</v>
      </c>
      <c r="F87" s="13">
        <v>0.2</v>
      </c>
      <c r="G87" s="13">
        <v>0.4</v>
      </c>
      <c r="H87" s="13">
        <v>0.2</v>
      </c>
      <c r="I87" s="13">
        <v>0</v>
      </c>
      <c r="J87" s="13">
        <v>0.2</v>
      </c>
      <c r="K87" s="36">
        <f t="shared" si="1"/>
        <v>0.60000000000000009</v>
      </c>
    </row>
    <row r="88" spans="1:11" s="1" customFormat="1" ht="9.6" customHeight="1" x14ac:dyDescent="0.2">
      <c r="A88" s="14"/>
      <c r="B88" s="15"/>
      <c r="C88" s="41"/>
      <c r="D88" s="16"/>
      <c r="E88" s="3" t="s">
        <v>17</v>
      </c>
      <c r="F88" s="13">
        <v>0.6</v>
      </c>
      <c r="G88" s="13">
        <v>0.2</v>
      </c>
      <c r="H88" s="13">
        <v>0</v>
      </c>
      <c r="I88" s="13">
        <v>0.2</v>
      </c>
      <c r="J88" s="13">
        <v>0</v>
      </c>
      <c r="K88" s="36">
        <f t="shared" si="1"/>
        <v>0.8</v>
      </c>
    </row>
    <row r="89" spans="1:11" ht="9.6" customHeight="1" x14ac:dyDescent="0.2">
      <c r="A89" s="17"/>
      <c r="B89" s="18"/>
      <c r="C89" s="42"/>
      <c r="D89" s="19"/>
      <c r="E89" s="3" t="s">
        <v>18</v>
      </c>
      <c r="F89" s="20">
        <v>0.2</v>
      </c>
      <c r="G89" s="20">
        <v>0.6</v>
      </c>
      <c r="H89" s="20">
        <v>0</v>
      </c>
      <c r="I89" s="20">
        <v>0.2</v>
      </c>
      <c r="J89" s="20">
        <v>0</v>
      </c>
      <c r="K89" s="36">
        <f t="shared" si="1"/>
        <v>0.8</v>
      </c>
    </row>
    <row r="90" spans="1:11" s="1" customFormat="1" ht="9.6" customHeight="1" x14ac:dyDescent="0.2">
      <c r="A90" s="10" t="s">
        <v>40</v>
      </c>
      <c r="B90" s="11" t="s">
        <v>19</v>
      </c>
      <c r="C90" s="40" t="s">
        <v>41</v>
      </c>
      <c r="D90" s="12" t="s">
        <v>10</v>
      </c>
      <c r="E90" s="3" t="s">
        <v>11</v>
      </c>
      <c r="F90" s="13">
        <v>0.38900000000000001</v>
      </c>
      <c r="G90" s="13">
        <v>0.111</v>
      </c>
      <c r="H90" s="13">
        <v>0.27800000000000002</v>
      </c>
      <c r="I90" s="13">
        <v>0.16700000000000001</v>
      </c>
      <c r="J90" s="13">
        <v>5.6000000000000001E-2</v>
      </c>
      <c r="K90" s="36">
        <f t="shared" si="1"/>
        <v>0.5</v>
      </c>
    </row>
    <row r="91" spans="1:11" s="1" customFormat="1" ht="9.6" customHeight="1" x14ac:dyDescent="0.2">
      <c r="A91" s="14"/>
      <c r="B91" s="15"/>
      <c r="C91" s="41"/>
      <c r="D91" s="16"/>
      <c r="E91" s="3" t="s">
        <v>12</v>
      </c>
      <c r="F91" s="13">
        <v>0.38900000000000001</v>
      </c>
      <c r="G91" s="13">
        <v>0.27800000000000002</v>
      </c>
      <c r="H91" s="13">
        <v>0.111</v>
      </c>
      <c r="I91" s="13">
        <v>0.111</v>
      </c>
      <c r="J91" s="13">
        <v>0.111</v>
      </c>
      <c r="K91" s="36">
        <f t="shared" si="1"/>
        <v>0.66700000000000004</v>
      </c>
    </row>
    <row r="92" spans="1:11" s="1" customFormat="1" ht="9.6" customHeight="1" x14ac:dyDescent="0.2">
      <c r="A92" s="14"/>
      <c r="B92" s="15"/>
      <c r="C92" s="41"/>
      <c r="D92" s="16"/>
      <c r="E92" s="3" t="s">
        <v>13</v>
      </c>
      <c r="F92" s="13">
        <v>0.44400000000000001</v>
      </c>
      <c r="G92" s="13">
        <v>5.6000000000000001E-2</v>
      </c>
      <c r="H92" s="13">
        <v>0.222</v>
      </c>
      <c r="I92" s="13">
        <v>0.111</v>
      </c>
      <c r="J92" s="13">
        <v>0.16700000000000001</v>
      </c>
      <c r="K92" s="36">
        <f t="shared" si="1"/>
        <v>0.5</v>
      </c>
    </row>
    <row r="93" spans="1:11" s="1" customFormat="1" ht="9.6" customHeight="1" x14ac:dyDescent="0.2">
      <c r="A93" s="14"/>
      <c r="B93" s="15"/>
      <c r="C93" s="41"/>
      <c r="D93" s="16"/>
      <c r="E93" s="3" t="s">
        <v>14</v>
      </c>
      <c r="F93" s="13">
        <v>0.44400000000000001</v>
      </c>
      <c r="G93" s="13">
        <v>0.16700000000000001</v>
      </c>
      <c r="H93" s="13">
        <v>0.16700000000000001</v>
      </c>
      <c r="I93" s="13">
        <v>0.111</v>
      </c>
      <c r="J93" s="13">
        <v>0.111</v>
      </c>
      <c r="K93" s="36">
        <f t="shared" si="1"/>
        <v>0.61099999999999999</v>
      </c>
    </row>
    <row r="94" spans="1:11" s="1" customFormat="1" ht="9.6" customHeight="1" x14ac:dyDescent="0.2">
      <c r="A94" s="14"/>
      <c r="B94" s="15"/>
      <c r="C94" s="41"/>
      <c r="D94" s="16"/>
      <c r="E94" s="3" t="s">
        <v>15</v>
      </c>
      <c r="F94" s="13">
        <v>0.38900000000000001</v>
      </c>
      <c r="G94" s="13">
        <v>0.111</v>
      </c>
      <c r="H94" s="13">
        <v>0.27800000000000002</v>
      </c>
      <c r="I94" s="13">
        <v>0.111</v>
      </c>
      <c r="J94" s="13">
        <v>0.111</v>
      </c>
      <c r="K94" s="36">
        <f t="shared" si="1"/>
        <v>0.5</v>
      </c>
    </row>
    <row r="95" spans="1:11" s="1" customFormat="1" ht="9.6" customHeight="1" x14ac:dyDescent="0.2">
      <c r="A95" s="14"/>
      <c r="B95" s="15"/>
      <c r="C95" s="41"/>
      <c r="D95" s="16"/>
      <c r="E95" s="3" t="s">
        <v>16</v>
      </c>
      <c r="F95" s="13">
        <v>0.44400000000000001</v>
      </c>
      <c r="G95" s="13">
        <v>0.16700000000000001</v>
      </c>
      <c r="H95" s="13">
        <v>0.16700000000000001</v>
      </c>
      <c r="I95" s="13">
        <v>0.16700000000000001</v>
      </c>
      <c r="J95" s="13">
        <v>5.6000000000000001E-2</v>
      </c>
      <c r="K95" s="36">
        <f t="shared" si="1"/>
        <v>0.61099999999999999</v>
      </c>
    </row>
    <row r="96" spans="1:11" s="1" customFormat="1" ht="9.6" customHeight="1" x14ac:dyDescent="0.2">
      <c r="A96" s="14"/>
      <c r="B96" s="15"/>
      <c r="C96" s="41"/>
      <c r="D96" s="16"/>
      <c r="E96" s="3" t="s">
        <v>17</v>
      </c>
      <c r="F96" s="13">
        <v>0.44400000000000001</v>
      </c>
      <c r="G96" s="13">
        <v>0.16700000000000001</v>
      </c>
      <c r="H96" s="13">
        <v>0.222</v>
      </c>
      <c r="I96" s="13">
        <v>5.6000000000000001E-2</v>
      </c>
      <c r="J96" s="13">
        <v>5.6000000000000001E-2</v>
      </c>
      <c r="K96" s="36">
        <f t="shared" si="1"/>
        <v>0.61099999999999999</v>
      </c>
    </row>
    <row r="97" spans="1:11" ht="9.6" customHeight="1" x14ac:dyDescent="0.2">
      <c r="A97" s="17"/>
      <c r="B97" s="18"/>
      <c r="C97" s="42"/>
      <c r="D97" s="19"/>
      <c r="E97" s="3" t="s">
        <v>18</v>
      </c>
      <c r="F97" s="20">
        <v>0.38900000000000001</v>
      </c>
      <c r="G97" s="20">
        <v>0.16700000000000001</v>
      </c>
      <c r="H97" s="20">
        <v>0.222</v>
      </c>
      <c r="I97" s="20">
        <v>0.16700000000000001</v>
      </c>
      <c r="J97" s="20">
        <v>5.6000000000000001E-2</v>
      </c>
      <c r="K97" s="36">
        <f t="shared" si="1"/>
        <v>0.55600000000000005</v>
      </c>
    </row>
    <row r="98" spans="1:11" s="1" customFormat="1" ht="9.6" customHeight="1" x14ac:dyDescent="0.15">
      <c r="A98" s="10" t="s">
        <v>42</v>
      </c>
      <c r="B98" s="11" t="s">
        <v>19</v>
      </c>
      <c r="C98" s="43" t="s">
        <v>43</v>
      </c>
      <c r="D98" s="21" t="s">
        <v>44</v>
      </c>
      <c r="E98" s="3" t="s">
        <v>11</v>
      </c>
      <c r="F98" s="13">
        <v>1</v>
      </c>
      <c r="G98" s="13">
        <v>0</v>
      </c>
      <c r="H98" s="13">
        <v>0</v>
      </c>
      <c r="I98" s="13">
        <v>0</v>
      </c>
      <c r="J98" s="13">
        <v>0</v>
      </c>
      <c r="K98" s="36">
        <f t="shared" si="1"/>
        <v>1</v>
      </c>
    </row>
    <row r="99" spans="1:11" s="1" customFormat="1" ht="9.6" customHeight="1" x14ac:dyDescent="0.15">
      <c r="A99" s="14"/>
      <c r="B99" s="15"/>
      <c r="C99" s="44"/>
      <c r="D99" s="22"/>
      <c r="E99" s="3" t="s">
        <v>12</v>
      </c>
      <c r="F99" s="13">
        <v>1</v>
      </c>
      <c r="G99" s="13">
        <v>0</v>
      </c>
      <c r="H99" s="13">
        <v>0</v>
      </c>
      <c r="I99" s="13">
        <v>0</v>
      </c>
      <c r="J99" s="13">
        <v>0</v>
      </c>
      <c r="K99" s="36">
        <f t="shared" si="1"/>
        <v>1</v>
      </c>
    </row>
    <row r="100" spans="1:11" s="1" customFormat="1" ht="9.6" customHeight="1" x14ac:dyDescent="0.15">
      <c r="A100" s="14"/>
      <c r="B100" s="15"/>
      <c r="C100" s="44"/>
      <c r="D100" s="22"/>
      <c r="E100" s="3" t="s">
        <v>13</v>
      </c>
      <c r="F100" s="13">
        <v>1</v>
      </c>
      <c r="G100" s="13">
        <v>0</v>
      </c>
      <c r="H100" s="13">
        <v>0</v>
      </c>
      <c r="I100" s="13">
        <v>0</v>
      </c>
      <c r="J100" s="13">
        <v>0</v>
      </c>
      <c r="K100" s="36">
        <f t="shared" si="1"/>
        <v>1</v>
      </c>
    </row>
    <row r="101" spans="1:11" s="1" customFormat="1" ht="9.6" customHeight="1" x14ac:dyDescent="0.15">
      <c r="A101" s="14"/>
      <c r="B101" s="15"/>
      <c r="C101" s="44"/>
      <c r="D101" s="22"/>
      <c r="E101" s="23" t="s">
        <v>14</v>
      </c>
      <c r="F101" s="24">
        <v>1</v>
      </c>
      <c r="G101" s="24">
        <v>0</v>
      </c>
      <c r="H101" s="24">
        <v>0</v>
      </c>
      <c r="I101" s="24">
        <v>0</v>
      </c>
      <c r="J101" s="24">
        <v>0</v>
      </c>
      <c r="K101" s="36">
        <f t="shared" si="1"/>
        <v>1</v>
      </c>
    </row>
    <row r="102" spans="1:11" s="1" customFormat="1" ht="9.6" customHeight="1" x14ac:dyDescent="0.2">
      <c r="A102" s="14"/>
      <c r="B102" s="15"/>
      <c r="C102" s="45"/>
      <c r="D102" s="25"/>
      <c r="E102" s="26" t="s">
        <v>15</v>
      </c>
      <c r="F102" s="27">
        <v>1</v>
      </c>
      <c r="G102" s="27">
        <v>0</v>
      </c>
      <c r="H102" s="27">
        <v>0</v>
      </c>
      <c r="I102" s="27">
        <v>0</v>
      </c>
      <c r="J102" s="27">
        <v>0</v>
      </c>
      <c r="K102" s="36">
        <f t="shared" si="1"/>
        <v>1</v>
      </c>
    </row>
    <row r="103" spans="1:11" s="1" customFormat="1" ht="9.6" customHeight="1" x14ac:dyDescent="0.2">
      <c r="A103" s="14"/>
      <c r="B103" s="15"/>
      <c r="C103" s="45"/>
      <c r="D103" s="25"/>
      <c r="E103" s="3" t="s">
        <v>16</v>
      </c>
      <c r="F103" s="13">
        <v>1</v>
      </c>
      <c r="G103" s="13">
        <v>0</v>
      </c>
      <c r="H103" s="13">
        <v>0</v>
      </c>
      <c r="I103" s="13">
        <v>0</v>
      </c>
      <c r="J103" s="13">
        <v>0</v>
      </c>
      <c r="K103" s="36">
        <f t="shared" si="1"/>
        <v>1</v>
      </c>
    </row>
    <row r="104" spans="1:11" s="1" customFormat="1" ht="9.6" customHeight="1" x14ac:dyDescent="0.2">
      <c r="A104" s="14"/>
      <c r="B104" s="15"/>
      <c r="C104" s="45"/>
      <c r="D104" s="25"/>
      <c r="E104" s="3" t="s">
        <v>17</v>
      </c>
      <c r="F104" s="13">
        <v>1</v>
      </c>
      <c r="G104" s="13">
        <v>0</v>
      </c>
      <c r="H104" s="13">
        <v>0</v>
      </c>
      <c r="I104" s="13">
        <v>0</v>
      </c>
      <c r="J104" s="13">
        <v>0</v>
      </c>
      <c r="K104" s="36">
        <f t="shared" si="1"/>
        <v>1</v>
      </c>
    </row>
    <row r="105" spans="1:11" ht="9.6" customHeight="1" x14ac:dyDescent="0.2">
      <c r="A105" s="17"/>
      <c r="B105" s="18"/>
      <c r="C105" s="46"/>
      <c r="D105" s="28"/>
      <c r="E105" s="3" t="s">
        <v>18</v>
      </c>
      <c r="F105" s="20">
        <v>1</v>
      </c>
      <c r="G105" s="20">
        <v>0</v>
      </c>
      <c r="H105" s="20">
        <v>0</v>
      </c>
      <c r="I105" s="20">
        <v>0</v>
      </c>
      <c r="J105" s="20">
        <v>0</v>
      </c>
      <c r="K105" s="36">
        <f t="shared" si="1"/>
        <v>1</v>
      </c>
    </row>
    <row r="106" spans="1:11" s="1" customFormat="1" ht="9.6" customHeight="1" x14ac:dyDescent="0.2">
      <c r="A106" s="10" t="s">
        <v>42</v>
      </c>
      <c r="B106" s="11" t="s">
        <v>19</v>
      </c>
      <c r="C106" s="40" t="s">
        <v>45</v>
      </c>
      <c r="D106" s="12" t="s">
        <v>10</v>
      </c>
      <c r="E106" s="3" t="s">
        <v>11</v>
      </c>
      <c r="F106" s="13">
        <v>0.66700000000000004</v>
      </c>
      <c r="G106" s="13">
        <v>0.111</v>
      </c>
      <c r="H106" s="13">
        <v>0.222</v>
      </c>
      <c r="I106" s="13">
        <v>0</v>
      </c>
      <c r="J106" s="13">
        <v>0</v>
      </c>
      <c r="K106" s="36">
        <f t="shared" si="1"/>
        <v>0.77800000000000002</v>
      </c>
    </row>
    <row r="107" spans="1:11" s="1" customFormat="1" ht="9.6" customHeight="1" x14ac:dyDescent="0.2">
      <c r="A107" s="14"/>
      <c r="B107" s="15"/>
      <c r="C107" s="41"/>
      <c r="D107" s="16"/>
      <c r="E107" s="3" t="s">
        <v>12</v>
      </c>
      <c r="F107" s="13">
        <v>0.55600000000000005</v>
      </c>
      <c r="G107" s="13">
        <v>0.222</v>
      </c>
      <c r="H107" s="13">
        <v>0</v>
      </c>
      <c r="I107" s="13">
        <v>0.111</v>
      </c>
      <c r="J107" s="13">
        <v>0.111</v>
      </c>
      <c r="K107" s="36">
        <f t="shared" si="1"/>
        <v>0.77800000000000002</v>
      </c>
    </row>
    <row r="108" spans="1:11" s="1" customFormat="1" ht="9.6" customHeight="1" x14ac:dyDescent="0.2">
      <c r="A108" s="14"/>
      <c r="B108" s="15"/>
      <c r="C108" s="41"/>
      <c r="D108" s="16"/>
      <c r="E108" s="3" t="s">
        <v>13</v>
      </c>
      <c r="F108" s="13">
        <v>0.55600000000000005</v>
      </c>
      <c r="G108" s="13">
        <v>0.222</v>
      </c>
      <c r="H108" s="13">
        <v>0.222</v>
      </c>
      <c r="I108" s="13">
        <v>0</v>
      </c>
      <c r="J108" s="13">
        <v>0</v>
      </c>
      <c r="K108" s="36">
        <f t="shared" si="1"/>
        <v>0.77800000000000002</v>
      </c>
    </row>
    <row r="109" spans="1:11" s="1" customFormat="1" ht="9.6" customHeight="1" x14ac:dyDescent="0.2">
      <c r="A109" s="14"/>
      <c r="B109" s="15"/>
      <c r="C109" s="41"/>
      <c r="D109" s="16"/>
      <c r="E109" s="3" t="s">
        <v>14</v>
      </c>
      <c r="F109" s="13">
        <v>0.44400000000000001</v>
      </c>
      <c r="G109" s="13">
        <v>0.33300000000000002</v>
      </c>
      <c r="H109" s="13">
        <v>0.111</v>
      </c>
      <c r="I109" s="13">
        <v>0</v>
      </c>
      <c r="J109" s="13">
        <v>0</v>
      </c>
      <c r="K109" s="36">
        <f t="shared" si="1"/>
        <v>0.77700000000000002</v>
      </c>
    </row>
    <row r="110" spans="1:11" s="1" customFormat="1" ht="9.6" customHeight="1" x14ac:dyDescent="0.2">
      <c r="A110" s="14"/>
      <c r="B110" s="15"/>
      <c r="C110" s="41"/>
      <c r="D110" s="16"/>
      <c r="E110" s="3" t="s">
        <v>15</v>
      </c>
      <c r="F110" s="13">
        <v>0.55600000000000005</v>
      </c>
      <c r="G110" s="13">
        <v>0.111</v>
      </c>
      <c r="H110" s="13">
        <v>0.222</v>
      </c>
      <c r="I110" s="13">
        <v>0.111</v>
      </c>
      <c r="J110" s="13">
        <v>0</v>
      </c>
      <c r="K110" s="36">
        <f t="shared" si="1"/>
        <v>0.66700000000000004</v>
      </c>
    </row>
    <row r="111" spans="1:11" s="1" customFormat="1" ht="9.6" customHeight="1" x14ac:dyDescent="0.2">
      <c r="A111" s="14"/>
      <c r="B111" s="15"/>
      <c r="C111" s="41"/>
      <c r="D111" s="16"/>
      <c r="E111" s="3" t="s">
        <v>16</v>
      </c>
      <c r="F111" s="13">
        <v>0.77800000000000002</v>
      </c>
      <c r="G111" s="13">
        <v>0.111</v>
      </c>
      <c r="H111" s="13">
        <v>0.111</v>
      </c>
      <c r="I111" s="13">
        <v>0</v>
      </c>
      <c r="J111" s="13">
        <v>0</v>
      </c>
      <c r="K111" s="36">
        <f t="shared" si="1"/>
        <v>0.88900000000000001</v>
      </c>
    </row>
    <row r="112" spans="1:11" s="1" customFormat="1" ht="9.6" customHeight="1" x14ac:dyDescent="0.2">
      <c r="A112" s="14"/>
      <c r="B112" s="15"/>
      <c r="C112" s="41"/>
      <c r="D112" s="16"/>
      <c r="E112" s="3" t="s">
        <v>17</v>
      </c>
      <c r="F112" s="13">
        <v>0.88900000000000001</v>
      </c>
      <c r="G112" s="13">
        <v>0</v>
      </c>
      <c r="H112" s="13">
        <v>0.111</v>
      </c>
      <c r="I112" s="13">
        <v>0</v>
      </c>
      <c r="J112" s="13">
        <v>0</v>
      </c>
      <c r="K112" s="36">
        <f t="shared" si="1"/>
        <v>0.88900000000000001</v>
      </c>
    </row>
    <row r="113" spans="1:11" ht="9.6" customHeight="1" x14ac:dyDescent="0.2">
      <c r="A113" s="17"/>
      <c r="B113" s="18"/>
      <c r="C113" s="42"/>
      <c r="D113" s="19"/>
      <c r="E113" s="3" t="s">
        <v>18</v>
      </c>
      <c r="F113" s="20">
        <v>0.66700000000000004</v>
      </c>
      <c r="G113" s="20">
        <v>0.222</v>
      </c>
      <c r="H113" s="20">
        <v>0.111</v>
      </c>
      <c r="I113" s="20">
        <v>0</v>
      </c>
      <c r="J113" s="20">
        <v>0</v>
      </c>
      <c r="K113" s="36">
        <f t="shared" si="1"/>
        <v>0.88900000000000001</v>
      </c>
    </row>
    <row r="114" spans="1:11" s="1" customFormat="1" ht="9.6" customHeight="1" x14ac:dyDescent="0.2">
      <c r="A114" s="10" t="s">
        <v>42</v>
      </c>
      <c r="B114" s="11" t="s">
        <v>21</v>
      </c>
      <c r="C114" s="40" t="s">
        <v>43</v>
      </c>
      <c r="D114" s="12" t="s">
        <v>44</v>
      </c>
      <c r="E114" s="3" t="s">
        <v>11</v>
      </c>
      <c r="F114" s="13">
        <v>1</v>
      </c>
      <c r="G114" s="13">
        <v>0</v>
      </c>
      <c r="H114" s="13">
        <v>0</v>
      </c>
      <c r="I114" s="13">
        <v>0</v>
      </c>
      <c r="J114" s="13">
        <v>0</v>
      </c>
      <c r="K114" s="36">
        <f t="shared" si="1"/>
        <v>1</v>
      </c>
    </row>
    <row r="115" spans="1:11" s="1" customFormat="1" ht="9.6" customHeight="1" x14ac:dyDescent="0.2">
      <c r="A115" s="14"/>
      <c r="B115" s="15"/>
      <c r="C115" s="41"/>
      <c r="D115" s="16"/>
      <c r="E115" s="3" t="s">
        <v>12</v>
      </c>
      <c r="F115" s="13">
        <v>1</v>
      </c>
      <c r="G115" s="13">
        <v>0</v>
      </c>
      <c r="H115" s="13">
        <v>0</v>
      </c>
      <c r="I115" s="13">
        <v>0</v>
      </c>
      <c r="J115" s="13">
        <v>0</v>
      </c>
      <c r="K115" s="36">
        <f t="shared" si="1"/>
        <v>1</v>
      </c>
    </row>
    <row r="116" spans="1:11" s="1" customFormat="1" ht="9.6" customHeight="1" x14ac:dyDescent="0.2">
      <c r="A116" s="14"/>
      <c r="B116" s="15"/>
      <c r="C116" s="41"/>
      <c r="D116" s="16"/>
      <c r="E116" s="3" t="s">
        <v>13</v>
      </c>
      <c r="F116" s="13">
        <v>1</v>
      </c>
      <c r="G116" s="13">
        <v>0</v>
      </c>
      <c r="H116" s="13">
        <v>0</v>
      </c>
      <c r="I116" s="13">
        <v>0</v>
      </c>
      <c r="J116" s="13">
        <v>0</v>
      </c>
      <c r="K116" s="36">
        <f t="shared" si="1"/>
        <v>1</v>
      </c>
    </row>
    <row r="117" spans="1:11" s="1" customFormat="1" ht="9.6" customHeight="1" x14ac:dyDescent="0.2">
      <c r="A117" s="14"/>
      <c r="B117" s="15"/>
      <c r="C117" s="41"/>
      <c r="D117" s="16"/>
      <c r="E117" s="3" t="s">
        <v>14</v>
      </c>
      <c r="F117" s="13">
        <v>1</v>
      </c>
      <c r="G117" s="13">
        <v>0</v>
      </c>
      <c r="H117" s="13">
        <v>0</v>
      </c>
      <c r="I117" s="13">
        <v>0</v>
      </c>
      <c r="J117" s="13">
        <v>0</v>
      </c>
      <c r="K117" s="36">
        <f t="shared" si="1"/>
        <v>1</v>
      </c>
    </row>
    <row r="118" spans="1:11" s="1" customFormat="1" ht="9.6" customHeight="1" x14ac:dyDescent="0.2">
      <c r="A118" s="14"/>
      <c r="B118" s="15"/>
      <c r="C118" s="41"/>
      <c r="D118" s="16"/>
      <c r="E118" s="3" t="s">
        <v>15</v>
      </c>
      <c r="F118" s="13">
        <v>1</v>
      </c>
      <c r="G118" s="13">
        <v>0</v>
      </c>
      <c r="H118" s="13">
        <v>0</v>
      </c>
      <c r="I118" s="13">
        <v>0</v>
      </c>
      <c r="J118" s="13">
        <v>0</v>
      </c>
      <c r="K118" s="36">
        <f t="shared" si="1"/>
        <v>1</v>
      </c>
    </row>
    <row r="119" spans="1:11" s="1" customFormat="1" ht="9.6" customHeight="1" x14ac:dyDescent="0.2">
      <c r="A119" s="14"/>
      <c r="B119" s="15"/>
      <c r="C119" s="41"/>
      <c r="D119" s="16"/>
      <c r="E119" s="3" t="s">
        <v>16</v>
      </c>
      <c r="F119" s="13">
        <v>1</v>
      </c>
      <c r="G119" s="13">
        <v>0</v>
      </c>
      <c r="H119" s="13">
        <v>0</v>
      </c>
      <c r="I119" s="13">
        <v>0</v>
      </c>
      <c r="J119" s="13">
        <v>0</v>
      </c>
      <c r="K119" s="36">
        <f t="shared" si="1"/>
        <v>1</v>
      </c>
    </row>
    <row r="120" spans="1:11" s="1" customFormat="1" ht="9.6" customHeight="1" x14ac:dyDescent="0.2">
      <c r="A120" s="14"/>
      <c r="B120" s="15"/>
      <c r="C120" s="41"/>
      <c r="D120" s="16"/>
      <c r="E120" s="3" t="s">
        <v>17</v>
      </c>
      <c r="F120" s="13">
        <v>1</v>
      </c>
      <c r="G120" s="13">
        <v>0</v>
      </c>
      <c r="H120" s="13">
        <v>0</v>
      </c>
      <c r="I120" s="13">
        <v>0</v>
      </c>
      <c r="J120" s="13">
        <v>0</v>
      </c>
      <c r="K120" s="36">
        <f t="shared" si="1"/>
        <v>1</v>
      </c>
    </row>
    <row r="121" spans="1:11" ht="9.6" customHeight="1" x14ac:dyDescent="0.2">
      <c r="A121" s="17"/>
      <c r="B121" s="18"/>
      <c r="C121" s="42"/>
      <c r="D121" s="19"/>
      <c r="E121" s="3" t="s">
        <v>18</v>
      </c>
      <c r="F121" s="20">
        <v>1</v>
      </c>
      <c r="G121" s="20">
        <v>0</v>
      </c>
      <c r="H121" s="20">
        <v>0</v>
      </c>
      <c r="I121" s="20">
        <v>0</v>
      </c>
      <c r="J121" s="20">
        <v>0</v>
      </c>
      <c r="K121" s="36">
        <f t="shared" si="1"/>
        <v>1</v>
      </c>
    </row>
    <row r="122" spans="1:11" s="1" customFormat="1" ht="9.6" customHeight="1" x14ac:dyDescent="0.2">
      <c r="A122" s="10" t="s">
        <v>42</v>
      </c>
      <c r="B122" s="11" t="s">
        <v>21</v>
      </c>
      <c r="C122" s="40" t="s">
        <v>46</v>
      </c>
      <c r="D122" s="12" t="s">
        <v>10</v>
      </c>
      <c r="E122" s="3" t="s">
        <v>11</v>
      </c>
      <c r="F122" s="13">
        <v>0.66700000000000004</v>
      </c>
      <c r="G122" s="13">
        <v>0</v>
      </c>
      <c r="H122" s="13">
        <v>0.222</v>
      </c>
      <c r="I122" s="13">
        <v>0.111</v>
      </c>
      <c r="J122" s="13">
        <v>0</v>
      </c>
      <c r="K122" s="36">
        <f t="shared" si="1"/>
        <v>0.66700000000000004</v>
      </c>
    </row>
    <row r="123" spans="1:11" s="1" customFormat="1" ht="9.6" customHeight="1" x14ac:dyDescent="0.2">
      <c r="A123" s="14"/>
      <c r="B123" s="15"/>
      <c r="C123" s="41"/>
      <c r="D123" s="16"/>
      <c r="E123" s="3" t="s">
        <v>12</v>
      </c>
      <c r="F123" s="13">
        <v>0.66700000000000004</v>
      </c>
      <c r="G123" s="13">
        <v>0</v>
      </c>
      <c r="H123" s="13">
        <v>0.33300000000000002</v>
      </c>
      <c r="I123" s="13">
        <v>0</v>
      </c>
      <c r="J123" s="13">
        <v>0</v>
      </c>
      <c r="K123" s="36">
        <f t="shared" si="1"/>
        <v>0.66700000000000004</v>
      </c>
    </row>
    <row r="124" spans="1:11" s="1" customFormat="1" ht="9.6" customHeight="1" x14ac:dyDescent="0.2">
      <c r="A124" s="14"/>
      <c r="B124" s="15"/>
      <c r="C124" s="41"/>
      <c r="D124" s="16"/>
      <c r="E124" s="3" t="s">
        <v>13</v>
      </c>
      <c r="F124" s="13">
        <v>0.66700000000000004</v>
      </c>
      <c r="G124" s="13">
        <v>0</v>
      </c>
      <c r="H124" s="13">
        <v>0.33300000000000002</v>
      </c>
      <c r="I124" s="13">
        <v>0</v>
      </c>
      <c r="J124" s="13">
        <v>0</v>
      </c>
      <c r="K124" s="36">
        <f t="shared" si="1"/>
        <v>0.66700000000000004</v>
      </c>
    </row>
    <row r="125" spans="1:11" s="1" customFormat="1" ht="9.6" customHeight="1" x14ac:dyDescent="0.2">
      <c r="A125" s="14"/>
      <c r="B125" s="15"/>
      <c r="C125" s="41"/>
      <c r="D125" s="16"/>
      <c r="E125" s="3" t="s">
        <v>14</v>
      </c>
      <c r="F125" s="13">
        <v>0.77800000000000002</v>
      </c>
      <c r="G125" s="13">
        <v>0</v>
      </c>
      <c r="H125" s="13">
        <v>0.222</v>
      </c>
      <c r="I125" s="13">
        <v>0</v>
      </c>
      <c r="J125" s="13">
        <v>0</v>
      </c>
      <c r="K125" s="36">
        <f t="shared" si="1"/>
        <v>0.77800000000000002</v>
      </c>
    </row>
    <row r="126" spans="1:11" s="1" customFormat="1" ht="9.6" customHeight="1" x14ac:dyDescent="0.2">
      <c r="A126" s="14"/>
      <c r="B126" s="15"/>
      <c r="C126" s="41"/>
      <c r="D126" s="16"/>
      <c r="E126" s="3" t="s">
        <v>15</v>
      </c>
      <c r="F126" s="13">
        <v>0.66700000000000004</v>
      </c>
      <c r="G126" s="13">
        <v>0</v>
      </c>
      <c r="H126" s="13">
        <v>0.33300000000000002</v>
      </c>
      <c r="I126" s="13">
        <v>0</v>
      </c>
      <c r="J126" s="13">
        <v>0</v>
      </c>
      <c r="K126" s="36">
        <f t="shared" si="1"/>
        <v>0.66700000000000004</v>
      </c>
    </row>
    <row r="127" spans="1:11" s="1" customFormat="1" ht="9.6" customHeight="1" x14ac:dyDescent="0.2">
      <c r="A127" s="14"/>
      <c r="B127" s="15"/>
      <c r="C127" s="41"/>
      <c r="D127" s="16"/>
      <c r="E127" s="3" t="s">
        <v>16</v>
      </c>
      <c r="F127" s="13">
        <v>0.77800000000000002</v>
      </c>
      <c r="G127" s="13">
        <v>0</v>
      </c>
      <c r="H127" s="13">
        <v>0.222</v>
      </c>
      <c r="I127" s="13">
        <v>0</v>
      </c>
      <c r="J127" s="13">
        <v>0</v>
      </c>
      <c r="K127" s="36">
        <f t="shared" si="1"/>
        <v>0.77800000000000002</v>
      </c>
    </row>
    <row r="128" spans="1:11" s="1" customFormat="1" ht="9.6" customHeight="1" x14ac:dyDescent="0.2">
      <c r="A128" s="14"/>
      <c r="B128" s="15"/>
      <c r="C128" s="41"/>
      <c r="D128" s="16"/>
      <c r="E128" s="3" t="s">
        <v>17</v>
      </c>
      <c r="F128" s="13">
        <v>0.88900000000000001</v>
      </c>
      <c r="G128" s="13">
        <v>0</v>
      </c>
      <c r="H128" s="13">
        <v>0.111</v>
      </c>
      <c r="I128" s="13">
        <v>0</v>
      </c>
      <c r="J128" s="13">
        <v>0</v>
      </c>
      <c r="K128" s="36">
        <f t="shared" si="1"/>
        <v>0.88900000000000001</v>
      </c>
    </row>
    <row r="129" spans="1:11" ht="9.6" customHeight="1" x14ac:dyDescent="0.2">
      <c r="A129" s="17"/>
      <c r="B129" s="18"/>
      <c r="C129" s="42"/>
      <c r="D129" s="19"/>
      <c r="E129" s="3" t="s">
        <v>18</v>
      </c>
      <c r="F129" s="20">
        <v>0.66700000000000004</v>
      </c>
      <c r="G129" s="20">
        <v>0.111</v>
      </c>
      <c r="H129" s="20">
        <v>0.222</v>
      </c>
      <c r="I129" s="20">
        <v>0</v>
      </c>
      <c r="J129" s="20">
        <v>0</v>
      </c>
      <c r="K129" s="36">
        <f t="shared" si="1"/>
        <v>0.77800000000000002</v>
      </c>
    </row>
    <row r="130" spans="1:11" s="1" customFormat="1" ht="9.6" customHeight="1" x14ac:dyDescent="0.2">
      <c r="A130" s="10" t="s">
        <v>47</v>
      </c>
      <c r="B130" s="11" t="s">
        <v>19</v>
      </c>
      <c r="C130" s="40" t="s">
        <v>48</v>
      </c>
      <c r="D130" s="12" t="s">
        <v>33</v>
      </c>
      <c r="E130" s="3" t="s">
        <v>11</v>
      </c>
      <c r="F130" s="13">
        <v>0.5</v>
      </c>
      <c r="G130" s="13">
        <v>0.25</v>
      </c>
      <c r="H130" s="13">
        <v>0</v>
      </c>
      <c r="I130" s="13">
        <v>0.25</v>
      </c>
      <c r="J130" s="13">
        <v>0</v>
      </c>
      <c r="K130" s="36">
        <f t="shared" si="1"/>
        <v>0.75</v>
      </c>
    </row>
    <row r="131" spans="1:11" s="1" customFormat="1" ht="9.6" customHeight="1" x14ac:dyDescent="0.2">
      <c r="A131" s="14"/>
      <c r="B131" s="15"/>
      <c r="C131" s="41"/>
      <c r="D131" s="16"/>
      <c r="E131" s="3" t="s">
        <v>12</v>
      </c>
      <c r="F131" s="13">
        <v>0.5</v>
      </c>
      <c r="G131" s="13">
        <v>0.25</v>
      </c>
      <c r="H131" s="13">
        <v>0</v>
      </c>
      <c r="I131" s="13">
        <v>0.25</v>
      </c>
      <c r="J131" s="13">
        <v>0</v>
      </c>
      <c r="K131" s="36">
        <f t="shared" ref="K131:K194" si="2">F131+G131</f>
        <v>0.75</v>
      </c>
    </row>
    <row r="132" spans="1:11" s="1" customFormat="1" ht="9.6" customHeight="1" x14ac:dyDescent="0.2">
      <c r="A132" s="14"/>
      <c r="B132" s="15"/>
      <c r="C132" s="41"/>
      <c r="D132" s="16"/>
      <c r="E132" s="3" t="s">
        <v>13</v>
      </c>
      <c r="F132" s="13">
        <v>0.5</v>
      </c>
      <c r="G132" s="13">
        <v>0.25</v>
      </c>
      <c r="H132" s="13">
        <v>0</v>
      </c>
      <c r="I132" s="13">
        <v>0.25</v>
      </c>
      <c r="J132" s="13">
        <v>0</v>
      </c>
      <c r="K132" s="36">
        <f t="shared" si="2"/>
        <v>0.75</v>
      </c>
    </row>
    <row r="133" spans="1:11" s="1" customFormat="1" ht="9.6" customHeight="1" x14ac:dyDescent="0.2">
      <c r="A133" s="14"/>
      <c r="B133" s="15"/>
      <c r="C133" s="41"/>
      <c r="D133" s="16"/>
      <c r="E133" s="3" t="s">
        <v>14</v>
      </c>
      <c r="F133" s="13">
        <v>0.5</v>
      </c>
      <c r="G133" s="13">
        <v>0</v>
      </c>
      <c r="H133" s="13">
        <v>0.25</v>
      </c>
      <c r="I133" s="13">
        <v>0.25</v>
      </c>
      <c r="J133" s="13">
        <v>0</v>
      </c>
      <c r="K133" s="36">
        <f t="shared" si="2"/>
        <v>0.5</v>
      </c>
    </row>
    <row r="134" spans="1:11" s="1" customFormat="1" ht="9.6" customHeight="1" x14ac:dyDescent="0.2">
      <c r="A134" s="14"/>
      <c r="B134" s="15"/>
      <c r="C134" s="41"/>
      <c r="D134" s="16"/>
      <c r="E134" s="3" t="s">
        <v>15</v>
      </c>
      <c r="F134" s="13">
        <v>0.5</v>
      </c>
      <c r="G134" s="13">
        <v>0.25</v>
      </c>
      <c r="H134" s="13">
        <v>0</v>
      </c>
      <c r="I134" s="13">
        <v>0.25</v>
      </c>
      <c r="J134" s="13">
        <v>0</v>
      </c>
      <c r="K134" s="36">
        <f t="shared" si="2"/>
        <v>0.75</v>
      </c>
    </row>
    <row r="135" spans="1:11" s="1" customFormat="1" ht="9.6" customHeight="1" x14ac:dyDescent="0.2">
      <c r="A135" s="14"/>
      <c r="B135" s="15"/>
      <c r="C135" s="41"/>
      <c r="D135" s="16"/>
      <c r="E135" s="3" t="s">
        <v>16</v>
      </c>
      <c r="F135" s="13">
        <v>0.5</v>
      </c>
      <c r="G135" s="13">
        <v>0</v>
      </c>
      <c r="H135" s="13">
        <v>0.25</v>
      </c>
      <c r="I135" s="13">
        <v>0.25</v>
      </c>
      <c r="J135" s="13">
        <v>0</v>
      </c>
      <c r="K135" s="36">
        <f t="shared" si="2"/>
        <v>0.5</v>
      </c>
    </row>
    <row r="136" spans="1:11" s="1" customFormat="1" ht="9.6" customHeight="1" x14ac:dyDescent="0.2">
      <c r="A136" s="14"/>
      <c r="B136" s="15"/>
      <c r="C136" s="41"/>
      <c r="D136" s="16"/>
      <c r="E136" s="3" t="s">
        <v>17</v>
      </c>
      <c r="F136" s="13">
        <v>0.75</v>
      </c>
      <c r="G136" s="13">
        <v>0</v>
      </c>
      <c r="H136" s="13">
        <v>0</v>
      </c>
      <c r="I136" s="13">
        <v>0.25</v>
      </c>
      <c r="J136" s="13">
        <v>0</v>
      </c>
      <c r="K136" s="36">
        <f t="shared" si="2"/>
        <v>0.75</v>
      </c>
    </row>
    <row r="137" spans="1:11" ht="9.6" customHeight="1" x14ac:dyDescent="0.2">
      <c r="A137" s="17"/>
      <c r="B137" s="18"/>
      <c r="C137" s="42"/>
      <c r="D137" s="19"/>
      <c r="E137" s="3" t="s">
        <v>18</v>
      </c>
      <c r="F137" s="20">
        <v>0.5</v>
      </c>
      <c r="G137" s="20">
        <v>0.25</v>
      </c>
      <c r="H137" s="20">
        <v>0</v>
      </c>
      <c r="I137" s="20">
        <v>0.25</v>
      </c>
      <c r="J137" s="20">
        <v>0</v>
      </c>
      <c r="K137" s="36">
        <f t="shared" si="2"/>
        <v>0.75</v>
      </c>
    </row>
    <row r="138" spans="1:11" s="1" customFormat="1" ht="9.6" customHeight="1" x14ac:dyDescent="0.2">
      <c r="A138" s="10" t="s">
        <v>47</v>
      </c>
      <c r="B138" s="11" t="s">
        <v>19</v>
      </c>
      <c r="C138" s="40" t="s">
        <v>49</v>
      </c>
      <c r="D138" s="12" t="s">
        <v>10</v>
      </c>
      <c r="E138" s="3" t="s">
        <v>11</v>
      </c>
      <c r="F138" s="13">
        <v>0.58299999999999996</v>
      </c>
      <c r="G138" s="13">
        <v>0.16700000000000001</v>
      </c>
      <c r="H138" s="13">
        <v>0.25</v>
      </c>
      <c r="I138" s="13">
        <v>0</v>
      </c>
      <c r="J138" s="13">
        <v>0</v>
      </c>
      <c r="K138" s="36">
        <f t="shared" si="2"/>
        <v>0.75</v>
      </c>
    </row>
    <row r="139" spans="1:11" s="1" customFormat="1" ht="9.6" customHeight="1" x14ac:dyDescent="0.2">
      <c r="A139" s="14"/>
      <c r="B139" s="15"/>
      <c r="C139" s="41"/>
      <c r="D139" s="16"/>
      <c r="E139" s="3" t="s">
        <v>12</v>
      </c>
      <c r="F139" s="13">
        <v>0.58299999999999996</v>
      </c>
      <c r="G139" s="13">
        <v>8.3000000000000004E-2</v>
      </c>
      <c r="H139" s="13">
        <v>0.33300000000000002</v>
      </c>
      <c r="I139" s="13">
        <v>0</v>
      </c>
      <c r="J139" s="13">
        <v>0</v>
      </c>
      <c r="K139" s="36">
        <f t="shared" si="2"/>
        <v>0.66599999999999993</v>
      </c>
    </row>
    <row r="140" spans="1:11" s="1" customFormat="1" ht="9.6" customHeight="1" x14ac:dyDescent="0.2">
      <c r="A140" s="14"/>
      <c r="B140" s="15"/>
      <c r="C140" s="41"/>
      <c r="D140" s="16"/>
      <c r="E140" s="3" t="s">
        <v>13</v>
      </c>
      <c r="F140" s="13">
        <v>0.58299999999999996</v>
      </c>
      <c r="G140" s="13">
        <v>8.3000000000000004E-2</v>
      </c>
      <c r="H140" s="13">
        <v>0.33300000000000002</v>
      </c>
      <c r="I140" s="13">
        <v>0</v>
      </c>
      <c r="J140" s="13">
        <v>0</v>
      </c>
      <c r="K140" s="36">
        <f t="shared" si="2"/>
        <v>0.66599999999999993</v>
      </c>
    </row>
    <row r="141" spans="1:11" s="1" customFormat="1" ht="9.6" customHeight="1" x14ac:dyDescent="0.2">
      <c r="A141" s="14"/>
      <c r="B141" s="15"/>
      <c r="C141" s="41"/>
      <c r="D141" s="16"/>
      <c r="E141" s="3" t="s">
        <v>14</v>
      </c>
      <c r="F141" s="13">
        <v>0.5</v>
      </c>
      <c r="G141" s="13">
        <v>0.16700000000000001</v>
      </c>
      <c r="H141" s="13">
        <v>0.33300000000000002</v>
      </c>
      <c r="I141" s="13">
        <v>0</v>
      </c>
      <c r="J141" s="13">
        <v>0</v>
      </c>
      <c r="K141" s="36">
        <f t="shared" si="2"/>
        <v>0.66700000000000004</v>
      </c>
    </row>
    <row r="142" spans="1:11" s="1" customFormat="1" ht="9.6" customHeight="1" x14ac:dyDescent="0.2">
      <c r="A142" s="14"/>
      <c r="B142" s="15"/>
      <c r="C142" s="41"/>
      <c r="D142" s="16"/>
      <c r="E142" s="3" t="s">
        <v>15</v>
      </c>
      <c r="F142" s="13">
        <v>0.5</v>
      </c>
      <c r="G142" s="13">
        <v>8.3000000000000004E-2</v>
      </c>
      <c r="H142" s="13">
        <v>0.41699999999999998</v>
      </c>
      <c r="I142" s="13">
        <v>0</v>
      </c>
      <c r="J142" s="13">
        <v>0</v>
      </c>
      <c r="K142" s="36">
        <f t="shared" si="2"/>
        <v>0.58299999999999996</v>
      </c>
    </row>
    <row r="143" spans="1:11" s="1" customFormat="1" ht="9.6" customHeight="1" x14ac:dyDescent="0.2">
      <c r="A143" s="14"/>
      <c r="B143" s="15"/>
      <c r="C143" s="41"/>
      <c r="D143" s="16"/>
      <c r="E143" s="3" t="s">
        <v>16</v>
      </c>
      <c r="F143" s="13">
        <v>0.66700000000000004</v>
      </c>
      <c r="G143" s="13">
        <v>8.3000000000000004E-2</v>
      </c>
      <c r="H143" s="13">
        <v>0.25</v>
      </c>
      <c r="I143" s="13">
        <v>0</v>
      </c>
      <c r="J143" s="13">
        <v>0</v>
      </c>
      <c r="K143" s="36">
        <f t="shared" si="2"/>
        <v>0.75</v>
      </c>
    </row>
    <row r="144" spans="1:11" s="1" customFormat="1" ht="9.6" customHeight="1" x14ac:dyDescent="0.2">
      <c r="A144" s="14"/>
      <c r="B144" s="15"/>
      <c r="C144" s="41"/>
      <c r="D144" s="16"/>
      <c r="E144" s="3" t="s">
        <v>17</v>
      </c>
      <c r="F144" s="13">
        <v>0.5</v>
      </c>
      <c r="G144" s="13">
        <v>0.25</v>
      </c>
      <c r="H144" s="13">
        <v>0.25</v>
      </c>
      <c r="I144" s="13">
        <v>0</v>
      </c>
      <c r="J144" s="13">
        <v>0</v>
      </c>
      <c r="K144" s="36">
        <f t="shared" si="2"/>
        <v>0.75</v>
      </c>
    </row>
    <row r="145" spans="1:11" ht="9.6" customHeight="1" x14ac:dyDescent="0.2">
      <c r="A145" s="17"/>
      <c r="B145" s="18"/>
      <c r="C145" s="42"/>
      <c r="D145" s="19"/>
      <c r="E145" s="3" t="s">
        <v>18</v>
      </c>
      <c r="F145" s="20">
        <v>0.58299999999999996</v>
      </c>
      <c r="G145" s="20">
        <v>0.16700000000000001</v>
      </c>
      <c r="H145" s="20">
        <v>0.25</v>
      </c>
      <c r="I145" s="20">
        <v>0</v>
      </c>
      <c r="J145" s="20">
        <v>0</v>
      </c>
      <c r="K145" s="36">
        <f t="shared" si="2"/>
        <v>0.75</v>
      </c>
    </row>
    <row r="146" spans="1:11" s="1" customFormat="1" ht="9.6" customHeight="1" x14ac:dyDescent="0.15">
      <c r="A146" s="10" t="s">
        <v>47</v>
      </c>
      <c r="B146" s="11" t="s">
        <v>21</v>
      </c>
      <c r="C146" s="43" t="s">
        <v>50</v>
      </c>
      <c r="D146" s="21" t="s">
        <v>33</v>
      </c>
      <c r="E146" s="3" t="s">
        <v>11</v>
      </c>
      <c r="F146" s="13">
        <v>0.66700000000000004</v>
      </c>
      <c r="G146" s="13">
        <v>0</v>
      </c>
      <c r="H146" s="13">
        <v>0</v>
      </c>
      <c r="I146" s="13">
        <v>0.33300000000000002</v>
      </c>
      <c r="J146" s="13">
        <v>0</v>
      </c>
      <c r="K146" s="36">
        <f t="shared" si="2"/>
        <v>0.66700000000000004</v>
      </c>
    </row>
    <row r="147" spans="1:11" s="1" customFormat="1" ht="9.6" customHeight="1" x14ac:dyDescent="0.15">
      <c r="A147" s="14"/>
      <c r="B147" s="15"/>
      <c r="C147" s="44"/>
      <c r="D147" s="22"/>
      <c r="E147" s="3" t="s">
        <v>12</v>
      </c>
      <c r="F147" s="13">
        <v>0.66700000000000004</v>
      </c>
      <c r="G147" s="13">
        <v>0</v>
      </c>
      <c r="H147" s="13">
        <v>0</v>
      </c>
      <c r="I147" s="13">
        <v>0.33300000000000002</v>
      </c>
      <c r="J147" s="13">
        <v>0</v>
      </c>
      <c r="K147" s="36">
        <f t="shared" si="2"/>
        <v>0.66700000000000004</v>
      </c>
    </row>
    <row r="148" spans="1:11" s="1" customFormat="1" ht="9.6" customHeight="1" x14ac:dyDescent="0.15">
      <c r="A148" s="14"/>
      <c r="B148" s="15"/>
      <c r="C148" s="44"/>
      <c r="D148" s="22"/>
      <c r="E148" s="3" t="s">
        <v>13</v>
      </c>
      <c r="F148" s="13">
        <v>0.66700000000000004</v>
      </c>
      <c r="G148" s="13">
        <v>0</v>
      </c>
      <c r="H148" s="13">
        <v>0</v>
      </c>
      <c r="I148" s="13">
        <v>0.33300000000000002</v>
      </c>
      <c r="J148" s="13">
        <v>0</v>
      </c>
      <c r="K148" s="36">
        <f t="shared" si="2"/>
        <v>0.66700000000000004</v>
      </c>
    </row>
    <row r="149" spans="1:11" s="1" customFormat="1" ht="9.6" customHeight="1" x14ac:dyDescent="0.15">
      <c r="A149" s="14"/>
      <c r="B149" s="15"/>
      <c r="C149" s="44"/>
      <c r="D149" s="22"/>
      <c r="E149" s="3" t="s">
        <v>14</v>
      </c>
      <c r="F149" s="13">
        <v>0.66700000000000004</v>
      </c>
      <c r="G149" s="13">
        <v>0</v>
      </c>
      <c r="H149" s="13">
        <v>0</v>
      </c>
      <c r="I149" s="13">
        <v>0.33300000000000002</v>
      </c>
      <c r="J149" s="13">
        <v>0</v>
      </c>
      <c r="K149" s="36">
        <f t="shared" si="2"/>
        <v>0.66700000000000004</v>
      </c>
    </row>
    <row r="150" spans="1:11" s="1" customFormat="1" ht="9.6" customHeight="1" x14ac:dyDescent="0.15">
      <c r="A150" s="14"/>
      <c r="B150" s="15"/>
      <c r="C150" s="44"/>
      <c r="D150" s="22"/>
      <c r="E150" s="3" t="s">
        <v>15</v>
      </c>
      <c r="F150" s="13">
        <v>0.66700000000000004</v>
      </c>
      <c r="G150" s="13">
        <v>0</v>
      </c>
      <c r="H150" s="13">
        <v>0</v>
      </c>
      <c r="I150" s="13">
        <v>0.33300000000000002</v>
      </c>
      <c r="J150" s="13">
        <v>0</v>
      </c>
      <c r="K150" s="36">
        <f t="shared" si="2"/>
        <v>0.66700000000000004</v>
      </c>
    </row>
    <row r="151" spans="1:11" s="1" customFormat="1" ht="9.6" customHeight="1" x14ac:dyDescent="0.15">
      <c r="A151" s="14"/>
      <c r="B151" s="15"/>
      <c r="C151" s="44"/>
      <c r="D151" s="22"/>
      <c r="E151" s="23" t="s">
        <v>16</v>
      </c>
      <c r="F151" s="24">
        <v>0.66700000000000004</v>
      </c>
      <c r="G151" s="24">
        <v>0</v>
      </c>
      <c r="H151" s="24">
        <v>0</v>
      </c>
      <c r="I151" s="24">
        <v>0.33300000000000002</v>
      </c>
      <c r="J151" s="24">
        <v>0</v>
      </c>
      <c r="K151" s="36">
        <f t="shared" si="2"/>
        <v>0.66700000000000004</v>
      </c>
    </row>
    <row r="152" spans="1:11" s="1" customFormat="1" ht="9.6" customHeight="1" x14ac:dyDescent="0.2">
      <c r="A152" s="14"/>
      <c r="B152" s="14"/>
      <c r="C152" s="45"/>
      <c r="D152" s="25"/>
      <c r="E152" s="26" t="s">
        <v>17</v>
      </c>
      <c r="F152" s="27">
        <v>0.66700000000000004</v>
      </c>
      <c r="G152" s="27">
        <v>0</v>
      </c>
      <c r="H152" s="27">
        <v>0</v>
      </c>
      <c r="I152" s="27">
        <v>0.33300000000000002</v>
      </c>
      <c r="J152" s="27">
        <v>0</v>
      </c>
      <c r="K152" s="36">
        <f t="shared" si="2"/>
        <v>0.66700000000000004</v>
      </c>
    </row>
    <row r="153" spans="1:11" ht="9.6" customHeight="1" x14ac:dyDescent="0.2">
      <c r="A153" s="17"/>
      <c r="B153" s="17"/>
      <c r="C153" s="46"/>
      <c r="D153" s="28"/>
      <c r="E153" s="3" t="s">
        <v>18</v>
      </c>
      <c r="F153" s="20">
        <v>0.66700000000000004</v>
      </c>
      <c r="G153" s="20">
        <v>0</v>
      </c>
      <c r="H153" s="20">
        <v>0</v>
      </c>
      <c r="I153" s="20">
        <v>0.33300000000000002</v>
      </c>
      <c r="J153" s="20">
        <v>0</v>
      </c>
      <c r="K153" s="36">
        <f t="shared" si="2"/>
        <v>0.66700000000000004</v>
      </c>
    </row>
    <row r="154" spans="1:11" s="1" customFormat="1" ht="9.6" customHeight="1" x14ac:dyDescent="0.2">
      <c r="A154" s="10" t="s">
        <v>47</v>
      </c>
      <c r="B154" s="11" t="s">
        <v>21</v>
      </c>
      <c r="C154" s="40" t="s">
        <v>51</v>
      </c>
      <c r="D154" s="12" t="s">
        <v>10</v>
      </c>
      <c r="E154" s="3" t="s">
        <v>11</v>
      </c>
      <c r="F154" s="13">
        <v>0.63600000000000001</v>
      </c>
      <c r="G154" s="13">
        <v>9.0999999999999998E-2</v>
      </c>
      <c r="H154" s="13">
        <v>0.182</v>
      </c>
      <c r="I154" s="13">
        <v>0</v>
      </c>
      <c r="J154" s="13">
        <v>9.0999999999999998E-2</v>
      </c>
      <c r="K154" s="36">
        <f t="shared" si="2"/>
        <v>0.72699999999999998</v>
      </c>
    </row>
    <row r="155" spans="1:11" s="1" customFormat="1" ht="9.6" customHeight="1" x14ac:dyDescent="0.2">
      <c r="A155" s="14"/>
      <c r="B155" s="15"/>
      <c r="C155" s="41"/>
      <c r="D155" s="16"/>
      <c r="E155" s="3" t="s">
        <v>12</v>
      </c>
      <c r="F155" s="13">
        <v>0.54500000000000004</v>
      </c>
      <c r="G155" s="13">
        <v>0.182</v>
      </c>
      <c r="H155" s="13">
        <v>0.27300000000000002</v>
      </c>
      <c r="I155" s="13">
        <v>0</v>
      </c>
      <c r="J155" s="13">
        <v>0</v>
      </c>
      <c r="K155" s="36">
        <f t="shared" si="2"/>
        <v>0.72700000000000009</v>
      </c>
    </row>
    <row r="156" spans="1:11" s="1" customFormat="1" ht="9.6" customHeight="1" x14ac:dyDescent="0.2">
      <c r="A156" s="14"/>
      <c r="B156" s="15"/>
      <c r="C156" s="41"/>
      <c r="D156" s="16"/>
      <c r="E156" s="3" t="s">
        <v>13</v>
      </c>
      <c r="F156" s="13">
        <v>0.63600000000000001</v>
      </c>
      <c r="G156" s="13">
        <v>9.0999999999999998E-2</v>
      </c>
      <c r="H156" s="13">
        <v>0.27300000000000002</v>
      </c>
      <c r="I156" s="13">
        <v>0</v>
      </c>
      <c r="J156" s="13">
        <v>0</v>
      </c>
      <c r="K156" s="36">
        <f t="shared" si="2"/>
        <v>0.72699999999999998</v>
      </c>
    </row>
    <row r="157" spans="1:11" s="1" customFormat="1" ht="9.6" customHeight="1" x14ac:dyDescent="0.2">
      <c r="A157" s="14"/>
      <c r="B157" s="15"/>
      <c r="C157" s="41"/>
      <c r="D157" s="16"/>
      <c r="E157" s="3" t="s">
        <v>14</v>
      </c>
      <c r="F157" s="13">
        <v>0.63600000000000001</v>
      </c>
      <c r="G157" s="13">
        <v>9.0999999999999998E-2</v>
      </c>
      <c r="H157" s="13">
        <v>0.27300000000000002</v>
      </c>
      <c r="I157" s="13">
        <v>0</v>
      </c>
      <c r="J157" s="13">
        <v>0</v>
      </c>
      <c r="K157" s="36">
        <f t="shared" si="2"/>
        <v>0.72699999999999998</v>
      </c>
    </row>
    <row r="158" spans="1:11" s="1" customFormat="1" ht="9.6" customHeight="1" x14ac:dyDescent="0.2">
      <c r="A158" s="14"/>
      <c r="B158" s="15"/>
      <c r="C158" s="41"/>
      <c r="D158" s="16"/>
      <c r="E158" s="3" t="s">
        <v>15</v>
      </c>
      <c r="F158" s="13">
        <v>0.54500000000000004</v>
      </c>
      <c r="G158" s="13">
        <v>0.182</v>
      </c>
      <c r="H158" s="13">
        <v>0.27300000000000002</v>
      </c>
      <c r="I158" s="13">
        <v>0</v>
      </c>
      <c r="J158" s="13">
        <v>0</v>
      </c>
      <c r="K158" s="36">
        <f t="shared" si="2"/>
        <v>0.72700000000000009</v>
      </c>
    </row>
    <row r="159" spans="1:11" s="1" customFormat="1" ht="9.6" customHeight="1" x14ac:dyDescent="0.2">
      <c r="A159" s="14"/>
      <c r="B159" s="15"/>
      <c r="C159" s="41"/>
      <c r="D159" s="16"/>
      <c r="E159" s="3" t="s">
        <v>16</v>
      </c>
      <c r="F159" s="13">
        <v>0.63600000000000001</v>
      </c>
      <c r="G159" s="13">
        <v>9.0999999999999998E-2</v>
      </c>
      <c r="H159" s="13">
        <v>0.27300000000000002</v>
      </c>
      <c r="I159" s="13">
        <v>0</v>
      </c>
      <c r="J159" s="13">
        <v>0</v>
      </c>
      <c r="K159" s="36">
        <f t="shared" si="2"/>
        <v>0.72699999999999998</v>
      </c>
    </row>
    <row r="160" spans="1:11" s="1" customFormat="1" ht="9.6" customHeight="1" x14ac:dyDescent="0.2">
      <c r="A160" s="14"/>
      <c r="B160" s="15"/>
      <c r="C160" s="41"/>
      <c r="D160" s="16"/>
      <c r="E160" s="3" t="s">
        <v>17</v>
      </c>
      <c r="F160" s="13">
        <v>0.54500000000000004</v>
      </c>
      <c r="G160" s="13">
        <v>0.27300000000000002</v>
      </c>
      <c r="H160" s="13">
        <v>0.182</v>
      </c>
      <c r="I160" s="13">
        <v>0</v>
      </c>
      <c r="J160" s="13">
        <v>0</v>
      </c>
      <c r="K160" s="36">
        <f t="shared" si="2"/>
        <v>0.81800000000000006</v>
      </c>
    </row>
    <row r="161" spans="1:11" ht="9.6" customHeight="1" x14ac:dyDescent="0.2">
      <c r="A161" s="17"/>
      <c r="B161" s="18"/>
      <c r="C161" s="42"/>
      <c r="D161" s="19"/>
      <c r="E161" s="3" t="s">
        <v>18</v>
      </c>
      <c r="F161" s="20">
        <v>0.54500000000000004</v>
      </c>
      <c r="G161" s="20">
        <v>0.182</v>
      </c>
      <c r="H161" s="20">
        <v>0.27300000000000002</v>
      </c>
      <c r="I161" s="20">
        <v>0</v>
      </c>
      <c r="J161" s="20">
        <v>0</v>
      </c>
      <c r="K161" s="36">
        <f t="shared" si="2"/>
        <v>0.72700000000000009</v>
      </c>
    </row>
    <row r="162" spans="1:11" s="1" customFormat="1" ht="9.6" customHeight="1" x14ac:dyDescent="0.2">
      <c r="A162" s="10" t="s">
        <v>52</v>
      </c>
      <c r="B162" s="11" t="s">
        <v>53</v>
      </c>
      <c r="C162" s="40" t="s">
        <v>54</v>
      </c>
      <c r="D162" s="12" t="s">
        <v>33</v>
      </c>
      <c r="E162" s="3" t="s">
        <v>11</v>
      </c>
      <c r="F162" s="13">
        <v>0.182</v>
      </c>
      <c r="G162" s="13">
        <v>0</v>
      </c>
      <c r="H162" s="13">
        <v>0.27300000000000002</v>
      </c>
      <c r="I162" s="13">
        <v>0.27300000000000002</v>
      </c>
      <c r="J162" s="13">
        <v>0.27300000000000002</v>
      </c>
      <c r="K162" s="36">
        <f t="shared" si="2"/>
        <v>0.182</v>
      </c>
    </row>
    <row r="163" spans="1:11" s="1" customFormat="1" ht="9.6" customHeight="1" x14ac:dyDescent="0.2">
      <c r="A163" s="14"/>
      <c r="B163" s="15"/>
      <c r="C163" s="41"/>
      <c r="D163" s="16"/>
      <c r="E163" s="3" t="s">
        <v>12</v>
      </c>
      <c r="F163" s="13">
        <v>9.0999999999999998E-2</v>
      </c>
      <c r="G163" s="13">
        <v>0</v>
      </c>
      <c r="H163" s="13">
        <v>0.27300000000000002</v>
      </c>
      <c r="I163" s="13">
        <v>0.45500000000000002</v>
      </c>
      <c r="J163" s="13">
        <v>0.182</v>
      </c>
      <c r="K163" s="36">
        <f t="shared" si="2"/>
        <v>9.0999999999999998E-2</v>
      </c>
    </row>
    <row r="164" spans="1:11" s="1" customFormat="1" ht="9.6" customHeight="1" x14ac:dyDescent="0.2">
      <c r="A164" s="14"/>
      <c r="B164" s="15"/>
      <c r="C164" s="41"/>
      <c r="D164" s="16"/>
      <c r="E164" s="3" t="s">
        <v>13</v>
      </c>
      <c r="F164" s="13">
        <v>9.0999999999999998E-2</v>
      </c>
      <c r="G164" s="13">
        <v>0</v>
      </c>
      <c r="H164" s="13">
        <v>0</v>
      </c>
      <c r="I164" s="13">
        <v>0.27300000000000002</v>
      </c>
      <c r="J164" s="13">
        <v>0.63600000000000001</v>
      </c>
      <c r="K164" s="36">
        <f t="shared" si="2"/>
        <v>9.0999999999999998E-2</v>
      </c>
    </row>
    <row r="165" spans="1:11" s="1" customFormat="1" ht="9.6" customHeight="1" x14ac:dyDescent="0.2">
      <c r="A165" s="14"/>
      <c r="B165" s="15"/>
      <c r="C165" s="41"/>
      <c r="D165" s="16"/>
      <c r="E165" s="3" t="s">
        <v>14</v>
      </c>
      <c r="F165" s="13">
        <v>9.0999999999999998E-2</v>
      </c>
      <c r="G165" s="13">
        <v>0</v>
      </c>
      <c r="H165" s="13">
        <v>9.0999999999999998E-2</v>
      </c>
      <c r="I165" s="13">
        <v>0.45500000000000002</v>
      </c>
      <c r="J165" s="13">
        <v>0.36399999999999999</v>
      </c>
      <c r="K165" s="36">
        <f t="shared" si="2"/>
        <v>9.0999999999999998E-2</v>
      </c>
    </row>
    <row r="166" spans="1:11" s="1" customFormat="1" ht="9.6" customHeight="1" x14ac:dyDescent="0.2">
      <c r="A166" s="14"/>
      <c r="B166" s="15"/>
      <c r="C166" s="41"/>
      <c r="D166" s="16"/>
      <c r="E166" s="3" t="s">
        <v>15</v>
      </c>
      <c r="F166" s="13">
        <v>9.0999999999999998E-2</v>
      </c>
      <c r="G166" s="13">
        <v>0</v>
      </c>
      <c r="H166" s="13">
        <v>9.0999999999999998E-2</v>
      </c>
      <c r="I166" s="13">
        <v>0.27300000000000002</v>
      </c>
      <c r="J166" s="13">
        <v>0.54500000000000004</v>
      </c>
      <c r="K166" s="36">
        <f t="shared" si="2"/>
        <v>9.0999999999999998E-2</v>
      </c>
    </row>
    <row r="167" spans="1:11" s="1" customFormat="1" ht="9.6" customHeight="1" x14ac:dyDescent="0.2">
      <c r="A167" s="14"/>
      <c r="B167" s="15"/>
      <c r="C167" s="41"/>
      <c r="D167" s="16"/>
      <c r="E167" s="3" t="s">
        <v>16</v>
      </c>
      <c r="F167" s="13">
        <v>0.27300000000000002</v>
      </c>
      <c r="G167" s="13">
        <v>0</v>
      </c>
      <c r="H167" s="13">
        <v>0.36399999999999999</v>
      </c>
      <c r="I167" s="13">
        <v>0.182</v>
      </c>
      <c r="J167" s="13">
        <v>0.182</v>
      </c>
      <c r="K167" s="36">
        <f t="shared" si="2"/>
        <v>0.27300000000000002</v>
      </c>
    </row>
    <row r="168" spans="1:11" s="1" customFormat="1" ht="9.6" customHeight="1" x14ac:dyDescent="0.2">
      <c r="A168" s="14"/>
      <c r="B168" s="15"/>
      <c r="C168" s="41"/>
      <c r="D168" s="16"/>
      <c r="E168" s="3" t="s">
        <v>17</v>
      </c>
      <c r="F168" s="13">
        <v>0.27300000000000002</v>
      </c>
      <c r="G168" s="13">
        <v>0</v>
      </c>
      <c r="H168" s="13">
        <v>0.36399999999999999</v>
      </c>
      <c r="I168" s="13">
        <v>0.182</v>
      </c>
      <c r="J168" s="13">
        <v>0.182</v>
      </c>
      <c r="K168" s="36">
        <f t="shared" si="2"/>
        <v>0.27300000000000002</v>
      </c>
    </row>
    <row r="169" spans="1:11" ht="9.6" customHeight="1" x14ac:dyDescent="0.2">
      <c r="A169" s="17"/>
      <c r="B169" s="18"/>
      <c r="C169" s="42"/>
      <c r="D169" s="19"/>
      <c r="E169" s="3" t="s">
        <v>18</v>
      </c>
      <c r="F169" s="20">
        <v>9.0999999999999998E-2</v>
      </c>
      <c r="G169" s="20">
        <v>0</v>
      </c>
      <c r="H169" s="20">
        <v>9.0999999999999998E-2</v>
      </c>
      <c r="I169" s="20">
        <v>0.27300000000000002</v>
      </c>
      <c r="J169" s="20">
        <v>0.45500000000000002</v>
      </c>
      <c r="K169" s="36">
        <f t="shared" si="2"/>
        <v>9.0999999999999998E-2</v>
      </c>
    </row>
    <row r="170" spans="1:11" s="1" customFormat="1" ht="9.6" customHeight="1" x14ac:dyDescent="0.2">
      <c r="A170" s="10" t="s">
        <v>52</v>
      </c>
      <c r="B170" s="11" t="s">
        <v>19</v>
      </c>
      <c r="C170" s="40" t="s">
        <v>55</v>
      </c>
      <c r="D170" s="12" t="s">
        <v>33</v>
      </c>
      <c r="E170" s="3" t="s">
        <v>11</v>
      </c>
      <c r="F170" s="13">
        <v>0.316</v>
      </c>
      <c r="G170" s="13">
        <v>0.42099999999999999</v>
      </c>
      <c r="H170" s="13">
        <v>0.26300000000000001</v>
      </c>
      <c r="I170" s="13">
        <v>0</v>
      </c>
      <c r="J170" s="13">
        <v>0</v>
      </c>
      <c r="K170" s="36">
        <f t="shared" si="2"/>
        <v>0.73699999999999999</v>
      </c>
    </row>
    <row r="171" spans="1:11" s="1" customFormat="1" ht="9.6" customHeight="1" x14ac:dyDescent="0.2">
      <c r="A171" s="14"/>
      <c r="B171" s="15"/>
      <c r="C171" s="41"/>
      <c r="D171" s="16"/>
      <c r="E171" s="3" t="s">
        <v>12</v>
      </c>
      <c r="F171" s="13">
        <v>0.316</v>
      </c>
      <c r="G171" s="13">
        <v>0.42099999999999999</v>
      </c>
      <c r="H171" s="13">
        <v>0.26300000000000001</v>
      </c>
      <c r="I171" s="13">
        <v>0</v>
      </c>
      <c r="J171" s="13">
        <v>0</v>
      </c>
      <c r="K171" s="36">
        <f t="shared" si="2"/>
        <v>0.73699999999999999</v>
      </c>
    </row>
    <row r="172" spans="1:11" s="1" customFormat="1" ht="9.6" customHeight="1" x14ac:dyDescent="0.2">
      <c r="A172" s="14"/>
      <c r="B172" s="15"/>
      <c r="C172" s="41"/>
      <c r="D172" s="16"/>
      <c r="E172" s="3" t="s">
        <v>13</v>
      </c>
      <c r="F172" s="13">
        <v>0.21099999999999999</v>
      </c>
      <c r="G172" s="13">
        <v>0.316</v>
      </c>
      <c r="H172" s="13">
        <v>0.26300000000000001</v>
      </c>
      <c r="I172" s="13">
        <v>0.158</v>
      </c>
      <c r="J172" s="13">
        <v>5.2999999999999999E-2</v>
      </c>
      <c r="K172" s="36">
        <f t="shared" si="2"/>
        <v>0.52700000000000002</v>
      </c>
    </row>
    <row r="173" spans="1:11" s="1" customFormat="1" ht="9.6" customHeight="1" x14ac:dyDescent="0.2">
      <c r="A173" s="14"/>
      <c r="B173" s="15"/>
      <c r="C173" s="41"/>
      <c r="D173" s="16"/>
      <c r="E173" s="3" t="s">
        <v>14</v>
      </c>
      <c r="F173" s="13">
        <v>0.316</v>
      </c>
      <c r="G173" s="13">
        <v>0.21099999999999999</v>
      </c>
      <c r="H173" s="13">
        <v>0.316</v>
      </c>
      <c r="I173" s="13">
        <v>0.105</v>
      </c>
      <c r="J173" s="13">
        <v>0</v>
      </c>
      <c r="K173" s="36">
        <f t="shared" si="2"/>
        <v>0.52700000000000002</v>
      </c>
    </row>
    <row r="174" spans="1:11" s="1" customFormat="1" ht="9.6" customHeight="1" x14ac:dyDescent="0.2">
      <c r="A174" s="14"/>
      <c r="B174" s="15"/>
      <c r="C174" s="41"/>
      <c r="D174" s="16"/>
      <c r="E174" s="3" t="s">
        <v>15</v>
      </c>
      <c r="F174" s="13">
        <v>0.21099999999999999</v>
      </c>
      <c r="G174" s="13">
        <v>0.316</v>
      </c>
      <c r="H174" s="13">
        <v>0.316</v>
      </c>
      <c r="I174" s="13">
        <v>0.105</v>
      </c>
      <c r="J174" s="13">
        <v>0</v>
      </c>
      <c r="K174" s="36">
        <f t="shared" si="2"/>
        <v>0.52700000000000002</v>
      </c>
    </row>
    <row r="175" spans="1:11" s="1" customFormat="1" ht="9.6" customHeight="1" x14ac:dyDescent="0.2">
      <c r="A175" s="14"/>
      <c r="B175" s="15"/>
      <c r="C175" s="41"/>
      <c r="D175" s="16"/>
      <c r="E175" s="3" t="s">
        <v>16</v>
      </c>
      <c r="F175" s="13">
        <v>0.47399999999999998</v>
      </c>
      <c r="G175" s="13">
        <v>0.316</v>
      </c>
      <c r="H175" s="13">
        <v>0.158</v>
      </c>
      <c r="I175" s="13">
        <v>0</v>
      </c>
      <c r="J175" s="13">
        <v>5.2999999999999999E-2</v>
      </c>
      <c r="K175" s="36">
        <f t="shared" si="2"/>
        <v>0.79</v>
      </c>
    </row>
    <row r="176" spans="1:11" s="1" customFormat="1" ht="9.6" customHeight="1" x14ac:dyDescent="0.2">
      <c r="A176" s="14"/>
      <c r="B176" s="15"/>
      <c r="C176" s="41"/>
      <c r="D176" s="16"/>
      <c r="E176" s="3" t="s">
        <v>17</v>
      </c>
      <c r="F176" s="13">
        <v>0.36799999999999999</v>
      </c>
      <c r="G176" s="13">
        <v>0.36799999999999999</v>
      </c>
      <c r="H176" s="13">
        <v>0.21099999999999999</v>
      </c>
      <c r="I176" s="13">
        <v>0</v>
      </c>
      <c r="J176" s="13">
        <v>0</v>
      </c>
      <c r="K176" s="36">
        <f t="shared" si="2"/>
        <v>0.73599999999999999</v>
      </c>
    </row>
    <row r="177" spans="1:11" ht="9.6" customHeight="1" x14ac:dyDescent="0.2">
      <c r="A177" s="17"/>
      <c r="B177" s="18"/>
      <c r="C177" s="42"/>
      <c r="D177" s="19"/>
      <c r="E177" s="3" t="s">
        <v>18</v>
      </c>
      <c r="F177" s="20">
        <v>0.26300000000000001</v>
      </c>
      <c r="G177" s="20">
        <v>0.42099999999999999</v>
      </c>
      <c r="H177" s="20">
        <v>0.21099999999999999</v>
      </c>
      <c r="I177" s="20">
        <v>5.2999999999999999E-2</v>
      </c>
      <c r="J177" s="20">
        <v>0</v>
      </c>
      <c r="K177" s="36">
        <f t="shared" si="2"/>
        <v>0.68399999999999994</v>
      </c>
    </row>
    <row r="178" spans="1:11" s="1" customFormat="1" ht="9.6" customHeight="1" x14ac:dyDescent="0.2">
      <c r="A178" s="10" t="s">
        <v>52</v>
      </c>
      <c r="B178" s="11" t="s">
        <v>19</v>
      </c>
      <c r="C178" s="40" t="s">
        <v>56</v>
      </c>
      <c r="D178" s="12" t="s">
        <v>10</v>
      </c>
      <c r="E178" s="3" t="s">
        <v>11</v>
      </c>
      <c r="F178" s="13">
        <v>0.24</v>
      </c>
      <c r="G178" s="13">
        <v>0.24</v>
      </c>
      <c r="H178" s="13">
        <v>0.4</v>
      </c>
      <c r="I178" s="13">
        <v>0</v>
      </c>
      <c r="J178" s="13">
        <v>0.12</v>
      </c>
      <c r="K178" s="36">
        <f t="shared" si="2"/>
        <v>0.48</v>
      </c>
    </row>
    <row r="179" spans="1:11" s="1" customFormat="1" ht="9.6" customHeight="1" x14ac:dyDescent="0.2">
      <c r="A179" s="14"/>
      <c r="B179" s="15"/>
      <c r="C179" s="41"/>
      <c r="D179" s="16"/>
      <c r="E179" s="3" t="s">
        <v>12</v>
      </c>
      <c r="F179" s="13">
        <v>0.2</v>
      </c>
      <c r="G179" s="13">
        <v>0.32</v>
      </c>
      <c r="H179" s="13">
        <v>0.32</v>
      </c>
      <c r="I179" s="13">
        <v>0.12</v>
      </c>
      <c r="J179" s="13">
        <v>0.04</v>
      </c>
      <c r="K179" s="36">
        <f t="shared" si="2"/>
        <v>0.52</v>
      </c>
    </row>
    <row r="180" spans="1:11" s="1" customFormat="1" ht="9.6" customHeight="1" x14ac:dyDescent="0.2">
      <c r="A180" s="14"/>
      <c r="B180" s="15"/>
      <c r="C180" s="41"/>
      <c r="D180" s="16"/>
      <c r="E180" s="3" t="s">
        <v>13</v>
      </c>
      <c r="F180" s="13">
        <v>0.32</v>
      </c>
      <c r="G180" s="13">
        <v>0.08</v>
      </c>
      <c r="H180" s="13">
        <v>0.32</v>
      </c>
      <c r="I180" s="13">
        <v>0.04</v>
      </c>
      <c r="J180" s="13">
        <v>0.24</v>
      </c>
      <c r="K180" s="36">
        <f t="shared" si="2"/>
        <v>0.4</v>
      </c>
    </row>
    <row r="181" spans="1:11" s="1" customFormat="1" ht="9.6" customHeight="1" x14ac:dyDescent="0.2">
      <c r="A181" s="14"/>
      <c r="B181" s="15"/>
      <c r="C181" s="41"/>
      <c r="D181" s="16"/>
      <c r="E181" s="3" t="s">
        <v>14</v>
      </c>
      <c r="F181" s="13">
        <v>0.28000000000000003</v>
      </c>
      <c r="G181" s="13">
        <v>0.16</v>
      </c>
      <c r="H181" s="13">
        <v>0.24</v>
      </c>
      <c r="I181" s="13">
        <v>0.04</v>
      </c>
      <c r="J181" s="13">
        <v>0.28000000000000003</v>
      </c>
      <c r="K181" s="36">
        <f t="shared" si="2"/>
        <v>0.44000000000000006</v>
      </c>
    </row>
    <row r="182" spans="1:11" s="1" customFormat="1" ht="9.6" customHeight="1" x14ac:dyDescent="0.2">
      <c r="A182" s="14"/>
      <c r="B182" s="15"/>
      <c r="C182" s="41"/>
      <c r="D182" s="16"/>
      <c r="E182" s="3" t="s">
        <v>15</v>
      </c>
      <c r="F182" s="13">
        <v>0.28000000000000003</v>
      </c>
      <c r="G182" s="13">
        <v>0.16</v>
      </c>
      <c r="H182" s="13">
        <v>0.2</v>
      </c>
      <c r="I182" s="13">
        <v>0.12</v>
      </c>
      <c r="J182" s="13">
        <v>0.2</v>
      </c>
      <c r="K182" s="36">
        <f t="shared" si="2"/>
        <v>0.44000000000000006</v>
      </c>
    </row>
    <row r="183" spans="1:11" s="1" customFormat="1" ht="9.6" customHeight="1" x14ac:dyDescent="0.2">
      <c r="A183" s="14"/>
      <c r="B183" s="15"/>
      <c r="C183" s="41"/>
      <c r="D183" s="16"/>
      <c r="E183" s="3" t="s">
        <v>16</v>
      </c>
      <c r="F183" s="13">
        <v>0.4</v>
      </c>
      <c r="G183" s="13">
        <v>0.12</v>
      </c>
      <c r="H183" s="13">
        <v>0.12</v>
      </c>
      <c r="I183" s="13">
        <v>0.16</v>
      </c>
      <c r="J183" s="13">
        <v>0.2</v>
      </c>
      <c r="K183" s="36">
        <f t="shared" si="2"/>
        <v>0.52</v>
      </c>
    </row>
    <row r="184" spans="1:11" s="1" customFormat="1" ht="9.6" customHeight="1" x14ac:dyDescent="0.2">
      <c r="A184" s="14"/>
      <c r="B184" s="15"/>
      <c r="C184" s="41"/>
      <c r="D184" s="16"/>
      <c r="E184" s="3" t="s">
        <v>17</v>
      </c>
      <c r="F184" s="13">
        <v>0.36</v>
      </c>
      <c r="G184" s="13">
        <v>0.24</v>
      </c>
      <c r="H184" s="13">
        <v>0.12</v>
      </c>
      <c r="I184" s="13">
        <v>0.08</v>
      </c>
      <c r="J184" s="13">
        <v>0.16</v>
      </c>
      <c r="K184" s="36">
        <f t="shared" si="2"/>
        <v>0.6</v>
      </c>
    </row>
    <row r="185" spans="1:11" ht="9.6" customHeight="1" x14ac:dyDescent="0.2">
      <c r="A185" s="17"/>
      <c r="B185" s="18"/>
      <c r="C185" s="42"/>
      <c r="D185" s="19"/>
      <c r="E185" s="3" t="s">
        <v>18</v>
      </c>
      <c r="F185" s="20">
        <v>0.2</v>
      </c>
      <c r="G185" s="20">
        <v>0.24</v>
      </c>
      <c r="H185" s="20">
        <v>0.24</v>
      </c>
      <c r="I185" s="20">
        <v>0.16</v>
      </c>
      <c r="J185" s="20">
        <v>0.16</v>
      </c>
      <c r="K185" s="36">
        <f t="shared" si="2"/>
        <v>0.44</v>
      </c>
    </row>
    <row r="186" spans="1:11" s="1" customFormat="1" ht="9.6" customHeight="1" x14ac:dyDescent="0.2">
      <c r="A186" s="10" t="s">
        <v>52</v>
      </c>
      <c r="B186" s="11" t="s">
        <v>21</v>
      </c>
      <c r="C186" s="40" t="s">
        <v>55</v>
      </c>
      <c r="D186" s="12" t="s">
        <v>33</v>
      </c>
      <c r="E186" s="3" t="s">
        <v>11</v>
      </c>
      <c r="F186" s="13">
        <v>0.52600000000000002</v>
      </c>
      <c r="G186" s="13">
        <v>0.21099999999999999</v>
      </c>
      <c r="H186" s="13">
        <v>0.26300000000000001</v>
      </c>
      <c r="I186" s="13">
        <v>0</v>
      </c>
      <c r="J186" s="13">
        <v>0</v>
      </c>
      <c r="K186" s="36">
        <f t="shared" si="2"/>
        <v>0.73699999999999999</v>
      </c>
    </row>
    <row r="187" spans="1:11" s="1" customFormat="1" ht="9.6" customHeight="1" x14ac:dyDescent="0.2">
      <c r="A187" s="14"/>
      <c r="B187" s="15"/>
      <c r="C187" s="41"/>
      <c r="D187" s="16"/>
      <c r="E187" s="3" t="s">
        <v>12</v>
      </c>
      <c r="F187" s="13">
        <v>0.47399999999999998</v>
      </c>
      <c r="G187" s="13">
        <v>0.26300000000000001</v>
      </c>
      <c r="H187" s="13">
        <v>0.26300000000000001</v>
      </c>
      <c r="I187" s="13">
        <v>0</v>
      </c>
      <c r="J187" s="13">
        <v>0</v>
      </c>
      <c r="K187" s="36">
        <f t="shared" si="2"/>
        <v>0.73699999999999999</v>
      </c>
    </row>
    <row r="188" spans="1:11" s="1" customFormat="1" ht="9.6" customHeight="1" x14ac:dyDescent="0.2">
      <c r="A188" s="14"/>
      <c r="B188" s="15"/>
      <c r="C188" s="41"/>
      <c r="D188" s="16"/>
      <c r="E188" s="3" t="s">
        <v>13</v>
      </c>
      <c r="F188" s="13">
        <v>0.36799999999999999</v>
      </c>
      <c r="G188" s="13">
        <v>0.36799999999999999</v>
      </c>
      <c r="H188" s="13">
        <v>0.26300000000000001</v>
      </c>
      <c r="I188" s="13">
        <v>0</v>
      </c>
      <c r="J188" s="13">
        <v>0</v>
      </c>
      <c r="K188" s="36">
        <f t="shared" si="2"/>
        <v>0.73599999999999999</v>
      </c>
    </row>
    <row r="189" spans="1:11" s="1" customFormat="1" ht="9.6" customHeight="1" x14ac:dyDescent="0.2">
      <c r="A189" s="14"/>
      <c r="B189" s="15"/>
      <c r="C189" s="41"/>
      <c r="D189" s="16"/>
      <c r="E189" s="3" t="s">
        <v>14</v>
      </c>
      <c r="F189" s="13">
        <v>0.36799999999999999</v>
      </c>
      <c r="G189" s="13">
        <v>0.316</v>
      </c>
      <c r="H189" s="13">
        <v>0.26300000000000001</v>
      </c>
      <c r="I189" s="13">
        <v>5.2999999999999999E-2</v>
      </c>
      <c r="J189" s="13">
        <v>0</v>
      </c>
      <c r="K189" s="36">
        <f t="shared" si="2"/>
        <v>0.68399999999999994</v>
      </c>
    </row>
    <row r="190" spans="1:11" s="1" customFormat="1" ht="9.6" customHeight="1" x14ac:dyDescent="0.2">
      <c r="A190" s="14"/>
      <c r="B190" s="15"/>
      <c r="C190" s="41"/>
      <c r="D190" s="16"/>
      <c r="E190" s="3" t="s">
        <v>15</v>
      </c>
      <c r="F190" s="13">
        <v>0.36799999999999999</v>
      </c>
      <c r="G190" s="13">
        <v>0.316</v>
      </c>
      <c r="H190" s="13">
        <v>0.26300000000000001</v>
      </c>
      <c r="I190" s="13">
        <v>5.2999999999999999E-2</v>
      </c>
      <c r="J190" s="13">
        <v>0</v>
      </c>
      <c r="K190" s="36">
        <f t="shared" si="2"/>
        <v>0.68399999999999994</v>
      </c>
    </row>
    <row r="191" spans="1:11" s="1" customFormat="1" ht="9.6" customHeight="1" x14ac:dyDescent="0.2">
      <c r="A191" s="14"/>
      <c r="B191" s="15"/>
      <c r="C191" s="41"/>
      <c r="D191" s="16"/>
      <c r="E191" s="3" t="s">
        <v>16</v>
      </c>
      <c r="F191" s="13">
        <v>0.52600000000000002</v>
      </c>
      <c r="G191" s="13">
        <v>0.26300000000000001</v>
      </c>
      <c r="H191" s="13">
        <v>0.158</v>
      </c>
      <c r="I191" s="13">
        <v>5.2999999999999999E-2</v>
      </c>
      <c r="J191" s="13">
        <v>0</v>
      </c>
      <c r="K191" s="36">
        <f t="shared" si="2"/>
        <v>0.78900000000000003</v>
      </c>
    </row>
    <row r="192" spans="1:11" s="1" customFormat="1" ht="9.6" customHeight="1" x14ac:dyDescent="0.2">
      <c r="A192" s="14"/>
      <c r="B192" s="15"/>
      <c r="C192" s="41"/>
      <c r="D192" s="16"/>
      <c r="E192" s="3" t="s">
        <v>17</v>
      </c>
      <c r="F192" s="13">
        <v>0.47399999999999998</v>
      </c>
      <c r="G192" s="13">
        <v>0.26300000000000001</v>
      </c>
      <c r="H192" s="13">
        <v>0.26300000000000001</v>
      </c>
      <c r="I192" s="13">
        <v>0</v>
      </c>
      <c r="J192" s="13">
        <v>0</v>
      </c>
      <c r="K192" s="36">
        <f t="shared" si="2"/>
        <v>0.73699999999999999</v>
      </c>
    </row>
    <row r="193" spans="1:11" ht="9.6" customHeight="1" x14ac:dyDescent="0.2">
      <c r="A193" s="17"/>
      <c r="B193" s="18"/>
      <c r="C193" s="42"/>
      <c r="D193" s="19"/>
      <c r="E193" s="3" t="s">
        <v>18</v>
      </c>
      <c r="F193" s="20">
        <v>0.42099999999999999</v>
      </c>
      <c r="G193" s="20">
        <v>0.36799999999999999</v>
      </c>
      <c r="H193" s="20">
        <v>0.158</v>
      </c>
      <c r="I193" s="20">
        <v>5.2999999999999999E-2</v>
      </c>
      <c r="J193" s="20">
        <v>0</v>
      </c>
      <c r="K193" s="36">
        <f t="shared" si="2"/>
        <v>0.78899999999999992</v>
      </c>
    </row>
    <row r="194" spans="1:11" s="1" customFormat="1" ht="9.6" customHeight="1" x14ac:dyDescent="0.2">
      <c r="A194" s="10" t="s">
        <v>52</v>
      </c>
      <c r="B194" s="11" t="s">
        <v>21</v>
      </c>
      <c r="C194" s="40" t="s">
        <v>57</v>
      </c>
      <c r="D194" s="12" t="s">
        <v>10</v>
      </c>
      <c r="E194" s="3" t="s">
        <v>11</v>
      </c>
      <c r="F194" s="13">
        <v>0.39100000000000001</v>
      </c>
      <c r="G194" s="13">
        <v>0.217</v>
      </c>
      <c r="H194" s="13">
        <v>0.26100000000000001</v>
      </c>
      <c r="I194" s="13">
        <v>4.2999999999999997E-2</v>
      </c>
      <c r="J194" s="13">
        <v>8.6999999999999994E-2</v>
      </c>
      <c r="K194" s="36">
        <f t="shared" si="2"/>
        <v>0.60799999999999998</v>
      </c>
    </row>
    <row r="195" spans="1:11" s="1" customFormat="1" ht="9.6" customHeight="1" x14ac:dyDescent="0.2">
      <c r="A195" s="14"/>
      <c r="B195" s="15"/>
      <c r="C195" s="41"/>
      <c r="D195" s="16"/>
      <c r="E195" s="3" t="s">
        <v>12</v>
      </c>
      <c r="F195" s="13">
        <v>0.34799999999999998</v>
      </c>
      <c r="G195" s="13">
        <v>0.30399999999999999</v>
      </c>
      <c r="H195" s="13">
        <v>0.26100000000000001</v>
      </c>
      <c r="I195" s="13">
        <v>4.2999999999999997E-2</v>
      </c>
      <c r="J195" s="13">
        <v>4.2999999999999997E-2</v>
      </c>
      <c r="K195" s="36">
        <f t="shared" ref="K195:K258" si="3">F195+G195</f>
        <v>0.65199999999999991</v>
      </c>
    </row>
    <row r="196" spans="1:11" s="1" customFormat="1" ht="9.6" customHeight="1" x14ac:dyDescent="0.2">
      <c r="A196" s="14"/>
      <c r="B196" s="15"/>
      <c r="C196" s="41"/>
      <c r="D196" s="16"/>
      <c r="E196" s="3" t="s">
        <v>13</v>
      </c>
      <c r="F196" s="13">
        <v>0.30399999999999999</v>
      </c>
      <c r="G196" s="13">
        <v>0.26100000000000001</v>
      </c>
      <c r="H196" s="13">
        <v>0.17399999999999999</v>
      </c>
      <c r="I196" s="13">
        <v>4.2999999999999997E-2</v>
      </c>
      <c r="J196" s="13">
        <v>0.217</v>
      </c>
      <c r="K196" s="36">
        <f t="shared" si="3"/>
        <v>0.56499999999999995</v>
      </c>
    </row>
    <row r="197" spans="1:11" s="1" customFormat="1" ht="9.6" customHeight="1" x14ac:dyDescent="0.2">
      <c r="A197" s="14"/>
      <c r="B197" s="15"/>
      <c r="C197" s="41"/>
      <c r="D197" s="16"/>
      <c r="E197" s="3" t="s">
        <v>14</v>
      </c>
      <c r="F197" s="13">
        <v>0.30399999999999999</v>
      </c>
      <c r="G197" s="13">
        <v>0.26100000000000001</v>
      </c>
      <c r="H197" s="13">
        <v>0.13</v>
      </c>
      <c r="I197" s="13">
        <v>8.6999999999999994E-2</v>
      </c>
      <c r="J197" s="13">
        <v>0.217</v>
      </c>
      <c r="K197" s="36">
        <f t="shared" si="3"/>
        <v>0.56499999999999995</v>
      </c>
    </row>
    <row r="198" spans="1:11" s="1" customFormat="1" ht="9.6" customHeight="1" x14ac:dyDescent="0.2">
      <c r="A198" s="14"/>
      <c r="B198" s="15"/>
      <c r="C198" s="41"/>
      <c r="D198" s="16"/>
      <c r="E198" s="3" t="s">
        <v>15</v>
      </c>
      <c r="F198" s="13">
        <v>0.26100000000000001</v>
      </c>
      <c r="G198" s="13">
        <v>0.26100000000000001</v>
      </c>
      <c r="H198" s="13">
        <v>0.217</v>
      </c>
      <c r="I198" s="13">
        <v>4.2999999999999997E-2</v>
      </c>
      <c r="J198" s="13">
        <v>0.17399999999999999</v>
      </c>
      <c r="K198" s="36">
        <f t="shared" si="3"/>
        <v>0.52200000000000002</v>
      </c>
    </row>
    <row r="199" spans="1:11" s="1" customFormat="1" ht="9.6" customHeight="1" x14ac:dyDescent="0.2">
      <c r="A199" s="14"/>
      <c r="B199" s="15"/>
      <c r="C199" s="41"/>
      <c r="D199" s="16"/>
      <c r="E199" s="3" t="s">
        <v>16</v>
      </c>
      <c r="F199" s="13">
        <v>0.30399999999999999</v>
      </c>
      <c r="G199" s="13">
        <v>0.26100000000000001</v>
      </c>
      <c r="H199" s="13">
        <v>0.13</v>
      </c>
      <c r="I199" s="13">
        <v>0.13</v>
      </c>
      <c r="J199" s="13">
        <v>0.17399999999999999</v>
      </c>
      <c r="K199" s="36">
        <f t="shared" si="3"/>
        <v>0.56499999999999995</v>
      </c>
    </row>
    <row r="200" spans="1:11" s="1" customFormat="1" ht="9.6" customHeight="1" x14ac:dyDescent="0.2">
      <c r="A200" s="14"/>
      <c r="B200" s="15"/>
      <c r="C200" s="41"/>
      <c r="D200" s="16"/>
      <c r="E200" s="3" t="s">
        <v>17</v>
      </c>
      <c r="F200" s="13">
        <v>0.34799999999999998</v>
      </c>
      <c r="G200" s="13">
        <v>0.30399999999999999</v>
      </c>
      <c r="H200" s="13">
        <v>0.13</v>
      </c>
      <c r="I200" s="13">
        <v>0.13</v>
      </c>
      <c r="J200" s="13">
        <v>8.6999999999999994E-2</v>
      </c>
      <c r="K200" s="36">
        <f t="shared" si="3"/>
        <v>0.65199999999999991</v>
      </c>
    </row>
    <row r="201" spans="1:11" ht="9.6" customHeight="1" x14ac:dyDescent="0.2">
      <c r="A201" s="14"/>
      <c r="B201" s="15"/>
      <c r="C201" s="41"/>
      <c r="D201" s="16"/>
      <c r="E201" s="23" t="s">
        <v>18</v>
      </c>
      <c r="F201" s="29">
        <v>0.30399999999999999</v>
      </c>
      <c r="G201" s="29">
        <v>0.26100000000000001</v>
      </c>
      <c r="H201" s="29">
        <v>0.217</v>
      </c>
      <c r="I201" s="29">
        <v>0.13</v>
      </c>
      <c r="J201" s="29">
        <v>8.6999999999999994E-2</v>
      </c>
      <c r="K201" s="36">
        <f t="shared" si="3"/>
        <v>0.56499999999999995</v>
      </c>
    </row>
    <row r="202" spans="1:11" s="1" customFormat="1" ht="9.6" customHeight="1" x14ac:dyDescent="0.2">
      <c r="A202" s="14" t="s">
        <v>58</v>
      </c>
      <c r="B202" s="15" t="s">
        <v>59</v>
      </c>
      <c r="C202" s="41" t="s">
        <v>60</v>
      </c>
      <c r="D202" s="16" t="s">
        <v>10</v>
      </c>
      <c r="E202" s="26" t="s">
        <v>11</v>
      </c>
      <c r="F202" s="27">
        <v>0.71399999999999997</v>
      </c>
      <c r="G202" s="27">
        <v>0.14299999999999999</v>
      </c>
      <c r="H202" s="27">
        <v>0.14299999999999999</v>
      </c>
      <c r="I202" s="27">
        <v>0</v>
      </c>
      <c r="J202" s="27">
        <v>0</v>
      </c>
      <c r="K202" s="36">
        <f t="shared" si="3"/>
        <v>0.85699999999999998</v>
      </c>
    </row>
    <row r="203" spans="1:11" s="1" customFormat="1" ht="9.6" customHeight="1" x14ac:dyDescent="0.2">
      <c r="A203" s="14"/>
      <c r="B203" s="15"/>
      <c r="C203" s="41"/>
      <c r="D203" s="16"/>
      <c r="E203" s="3" t="s">
        <v>12</v>
      </c>
      <c r="F203" s="13">
        <v>0.71399999999999997</v>
      </c>
      <c r="G203" s="13">
        <v>0.14299999999999999</v>
      </c>
      <c r="H203" s="13">
        <v>0.14299999999999999</v>
      </c>
      <c r="I203" s="13">
        <v>0</v>
      </c>
      <c r="J203" s="13">
        <v>0</v>
      </c>
      <c r="K203" s="36">
        <f t="shared" si="3"/>
        <v>0.85699999999999998</v>
      </c>
    </row>
    <row r="204" spans="1:11" s="1" customFormat="1" ht="9.6" customHeight="1" x14ac:dyDescent="0.2">
      <c r="A204" s="14"/>
      <c r="B204" s="15"/>
      <c r="C204" s="41"/>
      <c r="D204" s="16"/>
      <c r="E204" s="3" t="s">
        <v>13</v>
      </c>
      <c r="F204" s="13">
        <v>0.57099999999999995</v>
      </c>
      <c r="G204" s="13">
        <v>0.28599999999999998</v>
      </c>
      <c r="H204" s="13">
        <v>0.14299999999999999</v>
      </c>
      <c r="I204" s="13">
        <v>0</v>
      </c>
      <c r="J204" s="13">
        <v>0</v>
      </c>
      <c r="K204" s="36">
        <f t="shared" si="3"/>
        <v>0.85699999999999998</v>
      </c>
    </row>
    <row r="205" spans="1:11" s="1" customFormat="1" ht="9.6" customHeight="1" x14ac:dyDescent="0.2">
      <c r="A205" s="14"/>
      <c r="B205" s="15"/>
      <c r="C205" s="41"/>
      <c r="D205" s="16"/>
      <c r="E205" s="3" t="s">
        <v>14</v>
      </c>
      <c r="F205" s="13">
        <v>0.57099999999999995</v>
      </c>
      <c r="G205" s="13">
        <v>0.28599999999999998</v>
      </c>
      <c r="H205" s="13">
        <v>0.14299999999999999</v>
      </c>
      <c r="I205" s="13">
        <v>0</v>
      </c>
      <c r="J205" s="13">
        <v>0</v>
      </c>
      <c r="K205" s="36">
        <f t="shared" si="3"/>
        <v>0.85699999999999998</v>
      </c>
    </row>
    <row r="206" spans="1:11" s="1" customFormat="1" ht="9.6" customHeight="1" x14ac:dyDescent="0.2">
      <c r="A206" s="14"/>
      <c r="B206" s="15"/>
      <c r="C206" s="41"/>
      <c r="D206" s="16"/>
      <c r="E206" s="3" t="s">
        <v>15</v>
      </c>
      <c r="F206" s="13">
        <v>0.42899999999999999</v>
      </c>
      <c r="G206" s="13">
        <v>0.28599999999999998</v>
      </c>
      <c r="H206" s="13">
        <v>0.28599999999999998</v>
      </c>
      <c r="I206" s="13">
        <v>0</v>
      </c>
      <c r="J206" s="13">
        <v>0</v>
      </c>
      <c r="K206" s="36">
        <f t="shared" si="3"/>
        <v>0.71499999999999997</v>
      </c>
    </row>
    <row r="207" spans="1:11" s="1" customFormat="1" ht="9.6" customHeight="1" x14ac:dyDescent="0.2">
      <c r="A207" s="14"/>
      <c r="B207" s="15"/>
      <c r="C207" s="41"/>
      <c r="D207" s="16"/>
      <c r="E207" s="3" t="s">
        <v>16</v>
      </c>
      <c r="F207" s="13">
        <v>0.57099999999999995</v>
      </c>
      <c r="G207" s="13">
        <v>0.14299999999999999</v>
      </c>
      <c r="H207" s="13">
        <v>0.28599999999999998</v>
      </c>
      <c r="I207" s="13">
        <v>0</v>
      </c>
      <c r="J207" s="13">
        <v>0</v>
      </c>
      <c r="K207" s="36">
        <f t="shared" si="3"/>
        <v>0.71399999999999997</v>
      </c>
    </row>
    <row r="208" spans="1:11" s="1" customFormat="1" ht="9.6" customHeight="1" x14ac:dyDescent="0.2">
      <c r="A208" s="14"/>
      <c r="B208" s="15"/>
      <c r="C208" s="41"/>
      <c r="D208" s="16"/>
      <c r="E208" s="3" t="s">
        <v>17</v>
      </c>
      <c r="F208" s="13">
        <v>0.71399999999999997</v>
      </c>
      <c r="G208" s="13">
        <v>0.14299999999999999</v>
      </c>
      <c r="H208" s="13">
        <v>0.14299999999999999</v>
      </c>
      <c r="I208" s="13">
        <v>0</v>
      </c>
      <c r="J208" s="13">
        <v>0</v>
      </c>
      <c r="K208" s="36">
        <f t="shared" si="3"/>
        <v>0.85699999999999998</v>
      </c>
    </row>
    <row r="209" spans="1:11" ht="9.6" customHeight="1" x14ac:dyDescent="0.2">
      <c r="A209" s="17"/>
      <c r="B209" s="18"/>
      <c r="C209" s="42"/>
      <c r="D209" s="19"/>
      <c r="E209" s="3" t="s">
        <v>18</v>
      </c>
      <c r="F209" s="20">
        <v>0.57099999999999995</v>
      </c>
      <c r="G209" s="20">
        <v>0.14299999999999999</v>
      </c>
      <c r="H209" s="20">
        <v>0.28599999999999998</v>
      </c>
      <c r="I209" s="20">
        <v>0</v>
      </c>
      <c r="J209" s="20">
        <v>0</v>
      </c>
      <c r="K209" s="36">
        <f t="shared" si="3"/>
        <v>0.71399999999999997</v>
      </c>
    </row>
    <row r="210" spans="1:11" s="1" customFormat="1" ht="9.6" customHeight="1" x14ac:dyDescent="0.2">
      <c r="A210" s="10" t="s">
        <v>61</v>
      </c>
      <c r="B210" s="11" t="s">
        <v>19</v>
      </c>
      <c r="C210" s="40" t="s">
        <v>62</v>
      </c>
      <c r="D210" s="12" t="s">
        <v>33</v>
      </c>
      <c r="E210" s="3" t="s">
        <v>11</v>
      </c>
      <c r="F210" s="13">
        <v>0.1</v>
      </c>
      <c r="G210" s="13">
        <v>0.3</v>
      </c>
      <c r="H210" s="13">
        <v>0.3</v>
      </c>
      <c r="I210" s="13">
        <v>0.1</v>
      </c>
      <c r="J210" s="13">
        <v>0.2</v>
      </c>
      <c r="K210" s="36">
        <f t="shared" si="3"/>
        <v>0.4</v>
      </c>
    </row>
    <row r="211" spans="1:11" s="1" customFormat="1" ht="9.6" customHeight="1" x14ac:dyDescent="0.2">
      <c r="A211" s="14"/>
      <c r="B211" s="15"/>
      <c r="C211" s="41"/>
      <c r="D211" s="16"/>
      <c r="E211" s="3" t="s">
        <v>12</v>
      </c>
      <c r="F211" s="13">
        <v>0.3</v>
      </c>
      <c r="G211" s="13">
        <v>0.2</v>
      </c>
      <c r="H211" s="13">
        <v>0.4</v>
      </c>
      <c r="I211" s="13">
        <v>0</v>
      </c>
      <c r="J211" s="13">
        <v>0.1</v>
      </c>
      <c r="K211" s="36">
        <f t="shared" si="3"/>
        <v>0.5</v>
      </c>
    </row>
    <row r="212" spans="1:11" s="1" customFormat="1" ht="9.6" customHeight="1" x14ac:dyDescent="0.2">
      <c r="A212" s="14"/>
      <c r="B212" s="15"/>
      <c r="C212" s="41"/>
      <c r="D212" s="16"/>
      <c r="E212" s="3" t="s">
        <v>13</v>
      </c>
      <c r="F212" s="13">
        <v>0.1</v>
      </c>
      <c r="G212" s="13">
        <v>0.1</v>
      </c>
      <c r="H212" s="13">
        <v>0.3</v>
      </c>
      <c r="I212" s="13">
        <v>0.3</v>
      </c>
      <c r="J212" s="13">
        <v>0.2</v>
      </c>
      <c r="K212" s="36">
        <f t="shared" si="3"/>
        <v>0.2</v>
      </c>
    </row>
    <row r="213" spans="1:11" s="1" customFormat="1" ht="9.6" customHeight="1" x14ac:dyDescent="0.2">
      <c r="A213" s="14"/>
      <c r="B213" s="15"/>
      <c r="C213" s="41"/>
      <c r="D213" s="16"/>
      <c r="E213" s="3" t="s">
        <v>14</v>
      </c>
      <c r="F213" s="13">
        <v>0.1</v>
      </c>
      <c r="G213" s="13">
        <v>0.2</v>
      </c>
      <c r="H213" s="13">
        <v>0.6</v>
      </c>
      <c r="I213" s="13">
        <v>0.1</v>
      </c>
      <c r="J213" s="13">
        <v>0</v>
      </c>
      <c r="K213" s="36">
        <f t="shared" si="3"/>
        <v>0.30000000000000004</v>
      </c>
    </row>
    <row r="214" spans="1:11" s="1" customFormat="1" ht="9.6" customHeight="1" x14ac:dyDescent="0.2">
      <c r="A214" s="14"/>
      <c r="B214" s="15"/>
      <c r="C214" s="41"/>
      <c r="D214" s="16"/>
      <c r="E214" s="3" t="s">
        <v>15</v>
      </c>
      <c r="F214" s="13">
        <v>0.2</v>
      </c>
      <c r="G214" s="13">
        <v>0.2</v>
      </c>
      <c r="H214" s="13">
        <v>0.4</v>
      </c>
      <c r="I214" s="13">
        <v>0</v>
      </c>
      <c r="J214" s="13">
        <v>0.2</v>
      </c>
      <c r="K214" s="36">
        <f t="shared" si="3"/>
        <v>0.4</v>
      </c>
    </row>
    <row r="215" spans="1:11" s="1" customFormat="1" ht="9.6" customHeight="1" x14ac:dyDescent="0.2">
      <c r="A215" s="14"/>
      <c r="B215" s="15"/>
      <c r="C215" s="41"/>
      <c r="D215" s="16"/>
      <c r="E215" s="3" t="s">
        <v>16</v>
      </c>
      <c r="F215" s="13">
        <v>0.2</v>
      </c>
      <c r="G215" s="13">
        <v>0.2</v>
      </c>
      <c r="H215" s="13">
        <v>0</v>
      </c>
      <c r="I215" s="13">
        <v>0.6</v>
      </c>
      <c r="J215" s="13">
        <v>0</v>
      </c>
      <c r="K215" s="36">
        <f t="shared" si="3"/>
        <v>0.4</v>
      </c>
    </row>
    <row r="216" spans="1:11" s="1" customFormat="1" ht="9.6" customHeight="1" x14ac:dyDescent="0.2">
      <c r="A216" s="14"/>
      <c r="B216" s="15"/>
      <c r="C216" s="41"/>
      <c r="D216" s="16"/>
      <c r="E216" s="3" t="s">
        <v>17</v>
      </c>
      <c r="F216" s="13">
        <v>0.2</v>
      </c>
      <c r="G216" s="13">
        <v>0.2</v>
      </c>
      <c r="H216" s="13">
        <v>0.3</v>
      </c>
      <c r="I216" s="13">
        <v>0.1</v>
      </c>
      <c r="J216" s="13">
        <v>0.2</v>
      </c>
      <c r="K216" s="36">
        <f t="shared" si="3"/>
        <v>0.4</v>
      </c>
    </row>
    <row r="217" spans="1:11" ht="9.6" customHeight="1" x14ac:dyDescent="0.2">
      <c r="A217" s="17"/>
      <c r="B217" s="18"/>
      <c r="C217" s="42"/>
      <c r="D217" s="19"/>
      <c r="E217" s="3" t="s">
        <v>18</v>
      </c>
      <c r="F217" s="20">
        <v>0.1</v>
      </c>
      <c r="G217" s="20">
        <v>0.2</v>
      </c>
      <c r="H217" s="20">
        <v>0.2</v>
      </c>
      <c r="I217" s="20">
        <v>0.2</v>
      </c>
      <c r="J217" s="20">
        <v>0.2</v>
      </c>
      <c r="K217" s="36">
        <f t="shared" si="3"/>
        <v>0.30000000000000004</v>
      </c>
    </row>
    <row r="218" spans="1:11" s="1" customFormat="1" ht="9.6" customHeight="1" x14ac:dyDescent="0.2">
      <c r="A218" s="10" t="s">
        <v>61</v>
      </c>
      <c r="B218" s="11" t="s">
        <v>19</v>
      </c>
      <c r="C218" s="40" t="s">
        <v>63</v>
      </c>
      <c r="D218" s="12" t="s">
        <v>10</v>
      </c>
      <c r="E218" s="3" t="s">
        <v>11</v>
      </c>
      <c r="F218" s="13">
        <v>0.111</v>
      </c>
      <c r="G218" s="13">
        <v>0.33300000000000002</v>
      </c>
      <c r="H218" s="13">
        <v>0.111</v>
      </c>
      <c r="I218" s="13">
        <v>0.111</v>
      </c>
      <c r="J218" s="13">
        <v>0.33300000000000002</v>
      </c>
      <c r="K218" s="36">
        <f t="shared" si="3"/>
        <v>0.44400000000000001</v>
      </c>
    </row>
    <row r="219" spans="1:11" s="1" customFormat="1" ht="9.6" customHeight="1" x14ac:dyDescent="0.2">
      <c r="A219" s="14"/>
      <c r="B219" s="15"/>
      <c r="C219" s="41"/>
      <c r="D219" s="16"/>
      <c r="E219" s="3" t="s">
        <v>12</v>
      </c>
      <c r="F219" s="13">
        <v>0.222</v>
      </c>
      <c r="G219" s="13">
        <v>0.33300000000000002</v>
      </c>
      <c r="H219" s="13">
        <v>0</v>
      </c>
      <c r="I219" s="13">
        <v>0.111</v>
      </c>
      <c r="J219" s="13">
        <v>0.33300000000000002</v>
      </c>
      <c r="K219" s="36">
        <f t="shared" si="3"/>
        <v>0.55500000000000005</v>
      </c>
    </row>
    <row r="220" spans="1:11" s="1" customFormat="1" ht="9.6" customHeight="1" x14ac:dyDescent="0.2">
      <c r="A220" s="14"/>
      <c r="B220" s="15"/>
      <c r="C220" s="41"/>
      <c r="D220" s="16"/>
      <c r="E220" s="3" t="s">
        <v>13</v>
      </c>
      <c r="F220" s="13">
        <v>0.33300000000000002</v>
      </c>
      <c r="G220" s="13">
        <v>0.111</v>
      </c>
      <c r="H220" s="13">
        <v>0.111</v>
      </c>
      <c r="I220" s="13">
        <v>0.111</v>
      </c>
      <c r="J220" s="13">
        <v>0.33300000000000002</v>
      </c>
      <c r="K220" s="36">
        <f t="shared" si="3"/>
        <v>0.44400000000000001</v>
      </c>
    </row>
    <row r="221" spans="1:11" s="1" customFormat="1" ht="9.6" customHeight="1" x14ac:dyDescent="0.2">
      <c r="A221" s="14"/>
      <c r="B221" s="15"/>
      <c r="C221" s="41"/>
      <c r="D221" s="16"/>
      <c r="E221" s="3" t="s">
        <v>14</v>
      </c>
      <c r="F221" s="13">
        <v>0.222</v>
      </c>
      <c r="G221" s="13">
        <v>0.222</v>
      </c>
      <c r="H221" s="13">
        <v>0.111</v>
      </c>
      <c r="I221" s="13">
        <v>0</v>
      </c>
      <c r="J221" s="13">
        <v>0.44400000000000001</v>
      </c>
      <c r="K221" s="36">
        <f t="shared" si="3"/>
        <v>0.44400000000000001</v>
      </c>
    </row>
    <row r="222" spans="1:11" s="1" customFormat="1" ht="9.6" customHeight="1" x14ac:dyDescent="0.2">
      <c r="A222" s="14"/>
      <c r="B222" s="15"/>
      <c r="C222" s="41"/>
      <c r="D222" s="16"/>
      <c r="E222" s="3" t="s">
        <v>15</v>
      </c>
      <c r="F222" s="13">
        <v>0.222</v>
      </c>
      <c r="G222" s="13">
        <v>0.222</v>
      </c>
      <c r="H222" s="13">
        <v>0.111</v>
      </c>
      <c r="I222" s="13">
        <v>0</v>
      </c>
      <c r="J222" s="13">
        <v>0.44400000000000001</v>
      </c>
      <c r="K222" s="36">
        <f t="shared" si="3"/>
        <v>0.44400000000000001</v>
      </c>
    </row>
    <row r="223" spans="1:11" s="1" customFormat="1" ht="9.6" customHeight="1" x14ac:dyDescent="0.2">
      <c r="A223" s="14"/>
      <c r="B223" s="15"/>
      <c r="C223" s="41"/>
      <c r="D223" s="16"/>
      <c r="E223" s="3" t="s">
        <v>16</v>
      </c>
      <c r="F223" s="13">
        <v>0.222</v>
      </c>
      <c r="G223" s="13">
        <v>0.111</v>
      </c>
      <c r="H223" s="13">
        <v>0.222</v>
      </c>
      <c r="I223" s="13">
        <v>0.111</v>
      </c>
      <c r="J223" s="13">
        <v>0.33300000000000002</v>
      </c>
      <c r="K223" s="36">
        <f t="shared" si="3"/>
        <v>0.33300000000000002</v>
      </c>
    </row>
    <row r="224" spans="1:11" s="1" customFormat="1" ht="9.6" customHeight="1" x14ac:dyDescent="0.2">
      <c r="A224" s="14"/>
      <c r="B224" s="15"/>
      <c r="C224" s="41"/>
      <c r="D224" s="16"/>
      <c r="E224" s="3" t="s">
        <v>17</v>
      </c>
      <c r="F224" s="13">
        <v>0.33300000000000002</v>
      </c>
      <c r="G224" s="13">
        <v>0.111</v>
      </c>
      <c r="H224" s="13">
        <v>0.111</v>
      </c>
      <c r="I224" s="13">
        <v>0.111</v>
      </c>
      <c r="J224" s="13">
        <v>0.33300000000000002</v>
      </c>
      <c r="K224" s="36">
        <f t="shared" si="3"/>
        <v>0.44400000000000001</v>
      </c>
    </row>
    <row r="225" spans="1:11" ht="9.6" customHeight="1" x14ac:dyDescent="0.2">
      <c r="A225" s="17"/>
      <c r="B225" s="18"/>
      <c r="C225" s="42"/>
      <c r="D225" s="19"/>
      <c r="E225" s="3" t="s">
        <v>18</v>
      </c>
      <c r="F225" s="20">
        <v>0.111</v>
      </c>
      <c r="G225" s="20">
        <v>0.33300000000000002</v>
      </c>
      <c r="H225" s="20">
        <v>0.111</v>
      </c>
      <c r="I225" s="20">
        <v>0</v>
      </c>
      <c r="J225" s="20">
        <v>0.44400000000000001</v>
      </c>
      <c r="K225" s="36">
        <f t="shared" si="3"/>
        <v>0.44400000000000001</v>
      </c>
    </row>
    <row r="226" spans="1:11" s="1" customFormat="1" ht="9.6" customHeight="1" x14ac:dyDescent="0.2">
      <c r="A226" s="10" t="s">
        <v>61</v>
      </c>
      <c r="B226" s="11" t="s">
        <v>21</v>
      </c>
      <c r="C226" s="40" t="s">
        <v>64</v>
      </c>
      <c r="D226" s="12" t="s">
        <v>33</v>
      </c>
      <c r="E226" s="3" t="s">
        <v>11</v>
      </c>
      <c r="F226" s="13">
        <v>0.5</v>
      </c>
      <c r="G226" s="13">
        <v>0.16700000000000001</v>
      </c>
      <c r="H226" s="13">
        <v>0.16700000000000001</v>
      </c>
      <c r="I226" s="13">
        <v>0</v>
      </c>
      <c r="J226" s="13">
        <v>0</v>
      </c>
      <c r="K226" s="36">
        <f t="shared" si="3"/>
        <v>0.66700000000000004</v>
      </c>
    </row>
    <row r="227" spans="1:11" s="1" customFormat="1" ht="9.6" customHeight="1" x14ac:dyDescent="0.2">
      <c r="A227" s="14"/>
      <c r="B227" s="15"/>
      <c r="C227" s="41"/>
      <c r="D227" s="16"/>
      <c r="E227" s="3" t="s">
        <v>12</v>
      </c>
      <c r="F227" s="13">
        <v>0.33300000000000002</v>
      </c>
      <c r="G227" s="13">
        <v>0.33300000000000002</v>
      </c>
      <c r="H227" s="13">
        <v>0.16700000000000001</v>
      </c>
      <c r="I227" s="13">
        <v>0</v>
      </c>
      <c r="J227" s="13">
        <v>0</v>
      </c>
      <c r="K227" s="36">
        <f t="shared" si="3"/>
        <v>0.66600000000000004</v>
      </c>
    </row>
    <row r="228" spans="1:11" s="1" customFormat="1" ht="9.6" customHeight="1" x14ac:dyDescent="0.2">
      <c r="A228" s="14"/>
      <c r="B228" s="15"/>
      <c r="C228" s="41"/>
      <c r="D228" s="16"/>
      <c r="E228" s="3" t="s">
        <v>13</v>
      </c>
      <c r="F228" s="13">
        <v>0.33300000000000002</v>
      </c>
      <c r="G228" s="13">
        <v>0.16700000000000001</v>
      </c>
      <c r="H228" s="13">
        <v>0.33300000000000002</v>
      </c>
      <c r="I228" s="13">
        <v>0</v>
      </c>
      <c r="J228" s="13">
        <v>0</v>
      </c>
      <c r="K228" s="36">
        <f t="shared" si="3"/>
        <v>0.5</v>
      </c>
    </row>
    <row r="229" spans="1:11" s="1" customFormat="1" ht="9.6" customHeight="1" x14ac:dyDescent="0.2">
      <c r="A229" s="14"/>
      <c r="B229" s="15"/>
      <c r="C229" s="41"/>
      <c r="D229" s="16"/>
      <c r="E229" s="3" t="s">
        <v>14</v>
      </c>
      <c r="F229" s="13">
        <v>0.16700000000000001</v>
      </c>
      <c r="G229" s="13">
        <v>0.33300000000000002</v>
      </c>
      <c r="H229" s="13">
        <v>0.33300000000000002</v>
      </c>
      <c r="I229" s="13">
        <v>0</v>
      </c>
      <c r="J229" s="13">
        <v>0</v>
      </c>
      <c r="K229" s="36">
        <f t="shared" si="3"/>
        <v>0.5</v>
      </c>
    </row>
    <row r="230" spans="1:11" s="1" customFormat="1" ht="9.6" customHeight="1" x14ac:dyDescent="0.2">
      <c r="A230" s="14"/>
      <c r="B230" s="15"/>
      <c r="C230" s="41"/>
      <c r="D230" s="16"/>
      <c r="E230" s="3" t="s">
        <v>15</v>
      </c>
      <c r="F230" s="13">
        <v>0.16700000000000001</v>
      </c>
      <c r="G230" s="13">
        <v>0.5</v>
      </c>
      <c r="H230" s="13">
        <v>0.16700000000000001</v>
      </c>
      <c r="I230" s="13">
        <v>0</v>
      </c>
      <c r="J230" s="13">
        <v>0</v>
      </c>
      <c r="K230" s="36">
        <f t="shared" si="3"/>
        <v>0.66700000000000004</v>
      </c>
    </row>
    <row r="231" spans="1:11" s="1" customFormat="1" ht="9.6" customHeight="1" x14ac:dyDescent="0.2">
      <c r="A231" s="14"/>
      <c r="B231" s="15"/>
      <c r="C231" s="41"/>
      <c r="D231" s="16"/>
      <c r="E231" s="3" t="s">
        <v>16</v>
      </c>
      <c r="F231" s="13">
        <v>0.16700000000000001</v>
      </c>
      <c r="G231" s="13">
        <v>0.33300000000000002</v>
      </c>
      <c r="H231" s="13">
        <v>0.16700000000000001</v>
      </c>
      <c r="I231" s="13">
        <v>0.16700000000000001</v>
      </c>
      <c r="J231" s="13">
        <v>0</v>
      </c>
      <c r="K231" s="36">
        <f t="shared" si="3"/>
        <v>0.5</v>
      </c>
    </row>
    <row r="232" spans="1:11" s="1" customFormat="1" ht="9.6" customHeight="1" x14ac:dyDescent="0.2">
      <c r="A232" s="14"/>
      <c r="B232" s="15"/>
      <c r="C232" s="41"/>
      <c r="D232" s="16"/>
      <c r="E232" s="3" t="s">
        <v>17</v>
      </c>
      <c r="F232" s="13">
        <v>0.33300000000000002</v>
      </c>
      <c r="G232" s="13">
        <v>0.16700000000000001</v>
      </c>
      <c r="H232" s="13">
        <v>0.33300000000000002</v>
      </c>
      <c r="I232" s="13">
        <v>0</v>
      </c>
      <c r="J232" s="13">
        <v>0</v>
      </c>
      <c r="K232" s="36">
        <f t="shared" si="3"/>
        <v>0.5</v>
      </c>
    </row>
    <row r="233" spans="1:11" ht="9.6" customHeight="1" x14ac:dyDescent="0.2">
      <c r="A233" s="17"/>
      <c r="B233" s="18"/>
      <c r="C233" s="42"/>
      <c r="D233" s="19"/>
      <c r="E233" s="3" t="s">
        <v>18</v>
      </c>
      <c r="F233" s="20">
        <v>0.16700000000000001</v>
      </c>
      <c r="G233" s="20">
        <v>0.5</v>
      </c>
      <c r="H233" s="20">
        <v>0.16700000000000001</v>
      </c>
      <c r="I233" s="20">
        <v>0</v>
      </c>
      <c r="J233" s="20">
        <v>0</v>
      </c>
      <c r="K233" s="36">
        <f t="shared" si="3"/>
        <v>0.66700000000000004</v>
      </c>
    </row>
    <row r="234" spans="1:11" s="1" customFormat="1" ht="9.6" customHeight="1" x14ac:dyDescent="0.2">
      <c r="A234" s="10" t="s">
        <v>61</v>
      </c>
      <c r="B234" s="11" t="s">
        <v>21</v>
      </c>
      <c r="C234" s="40" t="s">
        <v>65</v>
      </c>
      <c r="D234" s="12" t="s">
        <v>10</v>
      </c>
      <c r="E234" s="3" t="s">
        <v>11</v>
      </c>
      <c r="F234" s="13">
        <v>0.5</v>
      </c>
      <c r="G234" s="13">
        <v>0.125</v>
      </c>
      <c r="H234" s="13">
        <v>0.125</v>
      </c>
      <c r="I234" s="13">
        <v>0.125</v>
      </c>
      <c r="J234" s="13">
        <v>0.125</v>
      </c>
      <c r="K234" s="36">
        <f t="shared" si="3"/>
        <v>0.625</v>
      </c>
    </row>
    <row r="235" spans="1:11" s="1" customFormat="1" ht="9.6" customHeight="1" x14ac:dyDescent="0.2">
      <c r="A235" s="14"/>
      <c r="B235" s="15"/>
      <c r="C235" s="41"/>
      <c r="D235" s="16"/>
      <c r="E235" s="3" t="s">
        <v>12</v>
      </c>
      <c r="F235" s="13">
        <v>0.625</v>
      </c>
      <c r="G235" s="13">
        <v>0</v>
      </c>
      <c r="H235" s="13">
        <v>0</v>
      </c>
      <c r="I235" s="13">
        <v>0.25</v>
      </c>
      <c r="J235" s="13">
        <v>0.125</v>
      </c>
      <c r="K235" s="36">
        <f t="shared" si="3"/>
        <v>0.625</v>
      </c>
    </row>
    <row r="236" spans="1:11" s="1" customFormat="1" ht="9.6" customHeight="1" x14ac:dyDescent="0.2">
      <c r="A236" s="14"/>
      <c r="B236" s="15"/>
      <c r="C236" s="41"/>
      <c r="D236" s="16"/>
      <c r="E236" s="3" t="s">
        <v>13</v>
      </c>
      <c r="F236" s="13">
        <v>0.5</v>
      </c>
      <c r="G236" s="13">
        <v>0.125</v>
      </c>
      <c r="H236" s="13">
        <v>0</v>
      </c>
      <c r="I236" s="13">
        <v>0.125</v>
      </c>
      <c r="J236" s="13">
        <v>0.25</v>
      </c>
      <c r="K236" s="36">
        <f t="shared" si="3"/>
        <v>0.625</v>
      </c>
    </row>
    <row r="237" spans="1:11" s="1" customFormat="1" ht="9.6" customHeight="1" x14ac:dyDescent="0.2">
      <c r="A237" s="14"/>
      <c r="B237" s="15"/>
      <c r="C237" s="41"/>
      <c r="D237" s="16"/>
      <c r="E237" s="3" t="s">
        <v>14</v>
      </c>
      <c r="F237" s="13">
        <v>0.375</v>
      </c>
      <c r="G237" s="13">
        <v>0.125</v>
      </c>
      <c r="H237" s="13">
        <v>0.125</v>
      </c>
      <c r="I237" s="13">
        <v>0</v>
      </c>
      <c r="J237" s="13">
        <v>0.375</v>
      </c>
      <c r="K237" s="36">
        <f t="shared" si="3"/>
        <v>0.5</v>
      </c>
    </row>
    <row r="238" spans="1:11" s="1" customFormat="1" ht="9.6" customHeight="1" x14ac:dyDescent="0.2">
      <c r="A238" s="14"/>
      <c r="B238" s="15"/>
      <c r="C238" s="41"/>
      <c r="D238" s="16"/>
      <c r="E238" s="3" t="s">
        <v>15</v>
      </c>
      <c r="F238" s="13">
        <v>0.5</v>
      </c>
      <c r="G238" s="13">
        <v>0.125</v>
      </c>
      <c r="H238" s="13">
        <v>0</v>
      </c>
      <c r="I238" s="13">
        <v>0</v>
      </c>
      <c r="J238" s="13">
        <v>0.375</v>
      </c>
      <c r="K238" s="36">
        <f t="shared" si="3"/>
        <v>0.625</v>
      </c>
    </row>
    <row r="239" spans="1:11" s="1" customFormat="1" ht="9.6" customHeight="1" x14ac:dyDescent="0.2">
      <c r="A239" s="14"/>
      <c r="B239" s="15"/>
      <c r="C239" s="41"/>
      <c r="D239" s="16"/>
      <c r="E239" s="3" t="s">
        <v>16</v>
      </c>
      <c r="F239" s="13">
        <v>0.5</v>
      </c>
      <c r="G239" s="13">
        <v>0</v>
      </c>
      <c r="H239" s="13">
        <v>0.125</v>
      </c>
      <c r="I239" s="13">
        <v>0.25</v>
      </c>
      <c r="J239" s="13">
        <v>0.125</v>
      </c>
      <c r="K239" s="36">
        <f t="shared" si="3"/>
        <v>0.5</v>
      </c>
    </row>
    <row r="240" spans="1:11" s="1" customFormat="1" ht="9.6" customHeight="1" x14ac:dyDescent="0.2">
      <c r="A240" s="14"/>
      <c r="B240" s="15"/>
      <c r="C240" s="41"/>
      <c r="D240" s="16"/>
      <c r="E240" s="3" t="s">
        <v>17</v>
      </c>
      <c r="F240" s="13">
        <v>0.5</v>
      </c>
      <c r="G240" s="13">
        <v>0</v>
      </c>
      <c r="H240" s="13">
        <v>0.125</v>
      </c>
      <c r="I240" s="13">
        <v>0.125</v>
      </c>
      <c r="J240" s="13">
        <v>0.25</v>
      </c>
      <c r="K240" s="36">
        <f t="shared" si="3"/>
        <v>0.5</v>
      </c>
    </row>
    <row r="241" spans="1:11" ht="9.6" customHeight="1" x14ac:dyDescent="0.2">
      <c r="A241" s="17"/>
      <c r="B241" s="18"/>
      <c r="C241" s="42"/>
      <c r="D241" s="19"/>
      <c r="E241" s="3" t="s">
        <v>18</v>
      </c>
      <c r="F241" s="20">
        <v>0.5</v>
      </c>
      <c r="G241" s="20">
        <v>0</v>
      </c>
      <c r="H241" s="20">
        <v>0.125</v>
      </c>
      <c r="I241" s="20">
        <v>0</v>
      </c>
      <c r="J241" s="20">
        <v>0.375</v>
      </c>
      <c r="K241" s="36">
        <f t="shared" si="3"/>
        <v>0.5</v>
      </c>
    </row>
    <row r="242" spans="1:11" s="1" customFormat="1" ht="9.6" customHeight="1" x14ac:dyDescent="0.2">
      <c r="A242" s="10" t="s">
        <v>66</v>
      </c>
      <c r="B242" s="11" t="s">
        <v>53</v>
      </c>
      <c r="C242" s="40" t="s">
        <v>67</v>
      </c>
      <c r="D242" s="12" t="s">
        <v>33</v>
      </c>
      <c r="E242" s="3" t="s">
        <v>11</v>
      </c>
      <c r="F242" s="13">
        <v>0.182</v>
      </c>
      <c r="G242" s="13">
        <v>0.182</v>
      </c>
      <c r="H242" s="13">
        <v>0.54500000000000004</v>
      </c>
      <c r="I242" s="13">
        <v>9.0999999999999998E-2</v>
      </c>
      <c r="J242" s="13">
        <v>0</v>
      </c>
      <c r="K242" s="36">
        <f t="shared" si="3"/>
        <v>0.36399999999999999</v>
      </c>
    </row>
    <row r="243" spans="1:11" s="1" customFormat="1" ht="9.6" customHeight="1" x14ac:dyDescent="0.2">
      <c r="A243" s="14"/>
      <c r="B243" s="15"/>
      <c r="C243" s="41"/>
      <c r="D243" s="16"/>
      <c r="E243" s="3" t="s">
        <v>12</v>
      </c>
      <c r="F243" s="13">
        <v>0.182</v>
      </c>
      <c r="G243" s="13">
        <v>0.36399999999999999</v>
      </c>
      <c r="H243" s="13">
        <v>0.27300000000000002</v>
      </c>
      <c r="I243" s="13">
        <v>9.0999999999999998E-2</v>
      </c>
      <c r="J243" s="13">
        <v>9.0999999999999998E-2</v>
      </c>
      <c r="K243" s="36">
        <f t="shared" si="3"/>
        <v>0.54600000000000004</v>
      </c>
    </row>
    <row r="244" spans="1:11" s="1" customFormat="1" ht="9.6" customHeight="1" x14ac:dyDescent="0.2">
      <c r="A244" s="14"/>
      <c r="B244" s="15"/>
      <c r="C244" s="41"/>
      <c r="D244" s="16"/>
      <c r="E244" s="3" t="s">
        <v>13</v>
      </c>
      <c r="F244" s="13">
        <v>9.0999999999999998E-2</v>
      </c>
      <c r="G244" s="13">
        <v>9.0999999999999998E-2</v>
      </c>
      <c r="H244" s="13">
        <v>0.36399999999999999</v>
      </c>
      <c r="I244" s="13">
        <v>0.45500000000000002</v>
      </c>
      <c r="J244" s="13">
        <v>0</v>
      </c>
      <c r="K244" s="36">
        <f t="shared" si="3"/>
        <v>0.182</v>
      </c>
    </row>
    <row r="245" spans="1:11" s="1" customFormat="1" ht="9.6" customHeight="1" x14ac:dyDescent="0.2">
      <c r="A245" s="14"/>
      <c r="B245" s="15"/>
      <c r="C245" s="41"/>
      <c r="D245" s="16"/>
      <c r="E245" s="3" t="s">
        <v>14</v>
      </c>
      <c r="F245" s="13">
        <v>9.0999999999999998E-2</v>
      </c>
      <c r="G245" s="13">
        <v>9.0999999999999998E-2</v>
      </c>
      <c r="H245" s="13">
        <v>0.45500000000000002</v>
      </c>
      <c r="I245" s="13">
        <v>0.182</v>
      </c>
      <c r="J245" s="13">
        <v>0.182</v>
      </c>
      <c r="K245" s="36">
        <f t="shared" si="3"/>
        <v>0.182</v>
      </c>
    </row>
    <row r="246" spans="1:11" s="1" customFormat="1" ht="9.6" customHeight="1" x14ac:dyDescent="0.2">
      <c r="A246" s="14"/>
      <c r="B246" s="15"/>
      <c r="C246" s="41"/>
      <c r="D246" s="16"/>
      <c r="E246" s="3" t="s">
        <v>15</v>
      </c>
      <c r="F246" s="13">
        <v>0.182</v>
      </c>
      <c r="G246" s="13">
        <v>9.0999999999999998E-2</v>
      </c>
      <c r="H246" s="13">
        <v>0.45500000000000002</v>
      </c>
      <c r="I246" s="13">
        <v>9.0999999999999998E-2</v>
      </c>
      <c r="J246" s="13">
        <v>0.182</v>
      </c>
      <c r="K246" s="36">
        <f t="shared" si="3"/>
        <v>0.27300000000000002</v>
      </c>
    </row>
    <row r="247" spans="1:11" s="1" customFormat="1" ht="9.6" customHeight="1" x14ac:dyDescent="0.2">
      <c r="A247" s="14"/>
      <c r="B247" s="15"/>
      <c r="C247" s="41"/>
      <c r="D247" s="16"/>
      <c r="E247" s="3" t="s">
        <v>16</v>
      </c>
      <c r="F247" s="13">
        <v>0.182</v>
      </c>
      <c r="G247" s="13">
        <v>0.182</v>
      </c>
      <c r="H247" s="13">
        <v>0.27300000000000002</v>
      </c>
      <c r="I247" s="13">
        <v>0.182</v>
      </c>
      <c r="J247" s="13">
        <v>9.0999999999999998E-2</v>
      </c>
      <c r="K247" s="36">
        <f t="shared" si="3"/>
        <v>0.36399999999999999</v>
      </c>
    </row>
    <row r="248" spans="1:11" s="1" customFormat="1" ht="9.6" customHeight="1" x14ac:dyDescent="0.2">
      <c r="A248" s="14"/>
      <c r="B248" s="15"/>
      <c r="C248" s="41"/>
      <c r="D248" s="16"/>
      <c r="E248" s="3" t="s">
        <v>17</v>
      </c>
      <c r="F248" s="13">
        <v>0.36399999999999999</v>
      </c>
      <c r="G248" s="13">
        <v>9.0999999999999998E-2</v>
      </c>
      <c r="H248" s="13">
        <v>0.36399999999999999</v>
      </c>
      <c r="I248" s="13">
        <v>9.0999999999999998E-2</v>
      </c>
      <c r="J248" s="13">
        <v>9.0999999999999998E-2</v>
      </c>
      <c r="K248" s="36">
        <f t="shared" si="3"/>
        <v>0.45499999999999996</v>
      </c>
    </row>
    <row r="249" spans="1:11" ht="9.6" customHeight="1" x14ac:dyDescent="0.2">
      <c r="A249" s="17"/>
      <c r="B249" s="18"/>
      <c r="C249" s="42"/>
      <c r="D249" s="19"/>
      <c r="E249" s="3" t="s">
        <v>18</v>
      </c>
      <c r="F249" s="20">
        <v>9.0999999999999998E-2</v>
      </c>
      <c r="G249" s="20">
        <v>0.182</v>
      </c>
      <c r="H249" s="20">
        <v>0.36399999999999999</v>
      </c>
      <c r="I249" s="20">
        <v>0.27300000000000002</v>
      </c>
      <c r="J249" s="20">
        <v>9.0999999999999998E-2</v>
      </c>
      <c r="K249" s="36">
        <f t="shared" si="3"/>
        <v>0.27300000000000002</v>
      </c>
    </row>
    <row r="250" spans="1:11" s="1" customFormat="1" ht="9.6" customHeight="1" x14ac:dyDescent="0.15">
      <c r="A250" s="10" t="s">
        <v>66</v>
      </c>
      <c r="B250" s="11" t="s">
        <v>68</v>
      </c>
      <c r="C250" s="43" t="s">
        <v>69</v>
      </c>
      <c r="D250" s="21" t="s">
        <v>10</v>
      </c>
      <c r="E250" s="3" t="s">
        <v>11</v>
      </c>
      <c r="F250" s="13">
        <v>0.57099999999999995</v>
      </c>
      <c r="G250" s="13">
        <v>0.28599999999999998</v>
      </c>
      <c r="H250" s="13">
        <v>0</v>
      </c>
      <c r="I250" s="13">
        <v>0.14299999999999999</v>
      </c>
      <c r="J250" s="13">
        <v>0</v>
      </c>
      <c r="K250" s="36">
        <f t="shared" si="3"/>
        <v>0.85699999999999998</v>
      </c>
    </row>
    <row r="251" spans="1:11" s="1" customFormat="1" ht="9.6" customHeight="1" x14ac:dyDescent="0.15">
      <c r="A251" s="14"/>
      <c r="B251" s="15"/>
      <c r="C251" s="44"/>
      <c r="D251" s="22"/>
      <c r="E251" s="23" t="s">
        <v>12</v>
      </c>
      <c r="F251" s="24">
        <v>0.71399999999999997</v>
      </c>
      <c r="G251" s="24">
        <v>0.14299999999999999</v>
      </c>
      <c r="H251" s="24">
        <v>0</v>
      </c>
      <c r="I251" s="24">
        <v>0.14299999999999999</v>
      </c>
      <c r="J251" s="24">
        <v>0</v>
      </c>
      <c r="K251" s="36">
        <f t="shared" si="3"/>
        <v>0.85699999999999998</v>
      </c>
    </row>
    <row r="252" spans="1:11" s="1" customFormat="1" ht="9.6" customHeight="1" x14ac:dyDescent="0.2">
      <c r="A252" s="14"/>
      <c r="B252" s="15"/>
      <c r="C252" s="45"/>
      <c r="D252" s="25"/>
      <c r="E252" s="26" t="s">
        <v>13</v>
      </c>
      <c r="F252" s="27">
        <v>0.57099999999999995</v>
      </c>
      <c r="G252" s="27">
        <v>0.14299999999999999</v>
      </c>
      <c r="H252" s="27">
        <v>0.14299999999999999</v>
      </c>
      <c r="I252" s="27">
        <v>0.14299999999999999</v>
      </c>
      <c r="J252" s="27">
        <v>0</v>
      </c>
      <c r="K252" s="36">
        <f t="shared" si="3"/>
        <v>0.71399999999999997</v>
      </c>
    </row>
    <row r="253" spans="1:11" s="1" customFormat="1" ht="9.6" customHeight="1" x14ac:dyDescent="0.2">
      <c r="A253" s="14"/>
      <c r="B253" s="15"/>
      <c r="C253" s="45"/>
      <c r="D253" s="25"/>
      <c r="E253" s="3" t="s">
        <v>14</v>
      </c>
      <c r="F253" s="13">
        <v>0.57099999999999995</v>
      </c>
      <c r="G253" s="13">
        <v>0.14299999999999999</v>
      </c>
      <c r="H253" s="13">
        <v>0.14299999999999999</v>
      </c>
      <c r="I253" s="13">
        <v>0.14299999999999999</v>
      </c>
      <c r="J253" s="13">
        <v>0</v>
      </c>
      <c r="K253" s="36">
        <f t="shared" si="3"/>
        <v>0.71399999999999997</v>
      </c>
    </row>
    <row r="254" spans="1:11" s="1" customFormat="1" ht="9.6" customHeight="1" x14ac:dyDescent="0.2">
      <c r="A254" s="14"/>
      <c r="B254" s="15"/>
      <c r="C254" s="45"/>
      <c r="D254" s="25"/>
      <c r="E254" s="3" t="s">
        <v>15</v>
      </c>
      <c r="F254" s="13">
        <v>0.57099999999999995</v>
      </c>
      <c r="G254" s="13">
        <v>0.14299999999999999</v>
      </c>
      <c r="H254" s="13">
        <v>0.14299999999999999</v>
      </c>
      <c r="I254" s="13">
        <v>0.14299999999999999</v>
      </c>
      <c r="J254" s="13">
        <v>0</v>
      </c>
      <c r="K254" s="36">
        <f t="shared" si="3"/>
        <v>0.71399999999999997</v>
      </c>
    </row>
    <row r="255" spans="1:11" s="1" customFormat="1" ht="9.6" customHeight="1" x14ac:dyDescent="0.2">
      <c r="A255" s="14"/>
      <c r="B255" s="15"/>
      <c r="C255" s="45"/>
      <c r="D255" s="25"/>
      <c r="E255" s="3" t="s">
        <v>16</v>
      </c>
      <c r="F255" s="13">
        <v>0.57099999999999995</v>
      </c>
      <c r="G255" s="13">
        <v>0.14299999999999999</v>
      </c>
      <c r="H255" s="13">
        <v>0.14299999999999999</v>
      </c>
      <c r="I255" s="13">
        <v>0.14299999999999999</v>
      </c>
      <c r="J255" s="13">
        <v>0</v>
      </c>
      <c r="K255" s="36">
        <f t="shared" si="3"/>
        <v>0.71399999999999997</v>
      </c>
    </row>
    <row r="256" spans="1:11" s="1" customFormat="1" ht="9.6" customHeight="1" x14ac:dyDescent="0.2">
      <c r="A256" s="14"/>
      <c r="B256" s="15"/>
      <c r="C256" s="45"/>
      <c r="D256" s="25"/>
      <c r="E256" s="3" t="s">
        <v>17</v>
      </c>
      <c r="F256" s="13">
        <v>0.57099999999999995</v>
      </c>
      <c r="G256" s="13">
        <v>0.14299999999999999</v>
      </c>
      <c r="H256" s="13">
        <v>0.14299999999999999</v>
      </c>
      <c r="I256" s="13">
        <v>0.14299999999999999</v>
      </c>
      <c r="J256" s="13">
        <v>0</v>
      </c>
      <c r="K256" s="36">
        <f t="shared" si="3"/>
        <v>0.71399999999999997</v>
      </c>
    </row>
    <row r="257" spans="1:11" ht="9.6" customHeight="1" x14ac:dyDescent="0.2">
      <c r="A257" s="17"/>
      <c r="B257" s="18"/>
      <c r="C257" s="46"/>
      <c r="D257" s="28"/>
      <c r="E257" s="3" t="s">
        <v>18</v>
      </c>
      <c r="F257" s="20">
        <v>0.57099999999999995</v>
      </c>
      <c r="G257" s="20">
        <v>0.28599999999999998</v>
      </c>
      <c r="H257" s="20">
        <v>0</v>
      </c>
      <c r="I257" s="20">
        <v>0</v>
      </c>
      <c r="J257" s="20">
        <v>0.14299999999999999</v>
      </c>
      <c r="K257" s="36">
        <f t="shared" si="3"/>
        <v>0.85699999999999998</v>
      </c>
    </row>
    <row r="258" spans="1:11" s="1" customFormat="1" ht="9.6" customHeight="1" x14ac:dyDescent="0.2">
      <c r="A258" s="10" t="s">
        <v>66</v>
      </c>
      <c r="B258" s="11" t="s">
        <v>19</v>
      </c>
      <c r="C258" s="40" t="s">
        <v>70</v>
      </c>
      <c r="D258" s="12" t="s">
        <v>33</v>
      </c>
      <c r="E258" s="3" t="s">
        <v>11</v>
      </c>
      <c r="F258" s="13">
        <v>0</v>
      </c>
      <c r="G258" s="13">
        <v>0.13300000000000001</v>
      </c>
      <c r="H258" s="13">
        <v>6.7000000000000004E-2</v>
      </c>
      <c r="I258" s="13">
        <v>0.4</v>
      </c>
      <c r="J258" s="13">
        <v>0.4</v>
      </c>
      <c r="K258" s="36">
        <f t="shared" si="3"/>
        <v>0.13300000000000001</v>
      </c>
    </row>
    <row r="259" spans="1:11" s="1" customFormat="1" ht="9.6" customHeight="1" x14ac:dyDescent="0.2">
      <c r="A259" s="14"/>
      <c r="B259" s="15"/>
      <c r="C259" s="41"/>
      <c r="D259" s="16"/>
      <c r="E259" s="3" t="s">
        <v>12</v>
      </c>
      <c r="F259" s="13">
        <v>0</v>
      </c>
      <c r="G259" s="13">
        <v>6.7000000000000004E-2</v>
      </c>
      <c r="H259" s="13">
        <v>0.2</v>
      </c>
      <c r="I259" s="13">
        <v>0.4</v>
      </c>
      <c r="J259" s="13">
        <v>0.33300000000000002</v>
      </c>
      <c r="K259" s="36">
        <f t="shared" ref="K259:K321" si="4">F259+G259</f>
        <v>6.7000000000000004E-2</v>
      </c>
    </row>
    <row r="260" spans="1:11" s="1" customFormat="1" ht="9.6" customHeight="1" x14ac:dyDescent="0.2">
      <c r="A260" s="14"/>
      <c r="B260" s="15"/>
      <c r="C260" s="41"/>
      <c r="D260" s="16"/>
      <c r="E260" s="3" t="s">
        <v>13</v>
      </c>
      <c r="F260" s="13">
        <v>0</v>
      </c>
      <c r="G260" s="13">
        <v>0</v>
      </c>
      <c r="H260" s="13">
        <v>0.13300000000000001</v>
      </c>
      <c r="I260" s="13">
        <v>0.26700000000000002</v>
      </c>
      <c r="J260" s="13">
        <v>0.6</v>
      </c>
      <c r="K260" s="36">
        <f t="shared" si="4"/>
        <v>0</v>
      </c>
    </row>
    <row r="261" spans="1:11" s="1" customFormat="1" ht="9.6" customHeight="1" x14ac:dyDescent="0.2">
      <c r="A261" s="14"/>
      <c r="B261" s="15"/>
      <c r="C261" s="41"/>
      <c r="D261" s="16"/>
      <c r="E261" s="3" t="s">
        <v>14</v>
      </c>
      <c r="F261" s="13">
        <v>0</v>
      </c>
      <c r="G261" s="13">
        <v>0</v>
      </c>
      <c r="H261" s="13">
        <v>0.4</v>
      </c>
      <c r="I261" s="13">
        <v>0.13300000000000001</v>
      </c>
      <c r="J261" s="13">
        <v>0.4</v>
      </c>
      <c r="K261" s="36">
        <f t="shared" si="4"/>
        <v>0</v>
      </c>
    </row>
    <row r="262" spans="1:11" s="1" customFormat="1" ht="9.6" customHeight="1" x14ac:dyDescent="0.2">
      <c r="A262" s="14"/>
      <c r="B262" s="15"/>
      <c r="C262" s="41"/>
      <c r="D262" s="16"/>
      <c r="E262" s="3" t="s">
        <v>15</v>
      </c>
      <c r="F262" s="13">
        <v>0</v>
      </c>
      <c r="G262" s="13">
        <v>6.7000000000000004E-2</v>
      </c>
      <c r="H262" s="13">
        <v>0.26700000000000002</v>
      </c>
      <c r="I262" s="13">
        <v>0.26700000000000002</v>
      </c>
      <c r="J262" s="13">
        <v>0.33300000000000002</v>
      </c>
      <c r="K262" s="36">
        <f t="shared" si="4"/>
        <v>6.7000000000000004E-2</v>
      </c>
    </row>
    <row r="263" spans="1:11" s="1" customFormat="1" ht="9.6" customHeight="1" x14ac:dyDescent="0.2">
      <c r="A263" s="14"/>
      <c r="B263" s="15"/>
      <c r="C263" s="41"/>
      <c r="D263" s="16"/>
      <c r="E263" s="3" t="s">
        <v>16</v>
      </c>
      <c r="F263" s="13">
        <v>0.2</v>
      </c>
      <c r="G263" s="13">
        <v>6.7000000000000004E-2</v>
      </c>
      <c r="H263" s="13">
        <v>0.13300000000000001</v>
      </c>
      <c r="I263" s="13">
        <v>0.26700000000000002</v>
      </c>
      <c r="J263" s="13">
        <v>0.33300000000000002</v>
      </c>
      <c r="K263" s="36">
        <f t="shared" si="4"/>
        <v>0.26700000000000002</v>
      </c>
    </row>
    <row r="264" spans="1:11" s="1" customFormat="1" ht="9.6" customHeight="1" x14ac:dyDescent="0.2">
      <c r="A264" s="14"/>
      <c r="B264" s="15"/>
      <c r="C264" s="41"/>
      <c r="D264" s="16"/>
      <c r="E264" s="3" t="s">
        <v>17</v>
      </c>
      <c r="F264" s="13">
        <v>0.2</v>
      </c>
      <c r="G264" s="13">
        <v>0.26700000000000002</v>
      </c>
      <c r="H264" s="13">
        <v>0.13300000000000001</v>
      </c>
      <c r="I264" s="13">
        <v>0.26700000000000002</v>
      </c>
      <c r="J264" s="13">
        <v>0.13300000000000001</v>
      </c>
      <c r="K264" s="36">
        <f t="shared" si="4"/>
        <v>0.46700000000000003</v>
      </c>
    </row>
    <row r="265" spans="1:11" ht="9.6" customHeight="1" x14ac:dyDescent="0.2">
      <c r="A265" s="17"/>
      <c r="B265" s="18"/>
      <c r="C265" s="42"/>
      <c r="D265" s="19"/>
      <c r="E265" s="3" t="s">
        <v>18</v>
      </c>
      <c r="F265" s="20">
        <v>0</v>
      </c>
      <c r="G265" s="20">
        <v>0.2</v>
      </c>
      <c r="H265" s="20">
        <v>0</v>
      </c>
      <c r="I265" s="20">
        <v>0.4</v>
      </c>
      <c r="J265" s="20">
        <v>0.4</v>
      </c>
      <c r="K265" s="36">
        <f t="shared" si="4"/>
        <v>0.2</v>
      </c>
    </row>
    <row r="266" spans="1:11" s="1" customFormat="1" ht="9.6" customHeight="1" x14ac:dyDescent="0.2">
      <c r="A266" s="10" t="s">
        <v>66</v>
      </c>
      <c r="B266" s="11" t="s">
        <v>19</v>
      </c>
      <c r="C266" s="40" t="s">
        <v>30</v>
      </c>
      <c r="D266" s="12" t="s">
        <v>10</v>
      </c>
      <c r="E266" s="3" t="s">
        <v>11</v>
      </c>
      <c r="F266" s="13">
        <v>0.57099999999999995</v>
      </c>
      <c r="G266" s="13">
        <v>0.14299999999999999</v>
      </c>
      <c r="H266" s="13">
        <v>0</v>
      </c>
      <c r="I266" s="13">
        <v>0.28599999999999998</v>
      </c>
      <c r="J266" s="13">
        <v>0</v>
      </c>
      <c r="K266" s="36">
        <f t="shared" si="4"/>
        <v>0.71399999999999997</v>
      </c>
    </row>
    <row r="267" spans="1:11" s="1" customFormat="1" ht="9.6" customHeight="1" x14ac:dyDescent="0.2">
      <c r="A267" s="14"/>
      <c r="B267" s="15"/>
      <c r="C267" s="41"/>
      <c r="D267" s="16"/>
      <c r="E267" s="3" t="s">
        <v>12</v>
      </c>
      <c r="F267" s="13">
        <v>0.42899999999999999</v>
      </c>
      <c r="G267" s="13">
        <v>0.42899999999999999</v>
      </c>
      <c r="H267" s="13">
        <v>0</v>
      </c>
      <c r="I267" s="13">
        <v>0.14299999999999999</v>
      </c>
      <c r="J267" s="13">
        <v>0</v>
      </c>
      <c r="K267" s="36">
        <f t="shared" si="4"/>
        <v>0.85799999999999998</v>
      </c>
    </row>
    <row r="268" spans="1:11" s="1" customFormat="1" ht="9.6" customHeight="1" x14ac:dyDescent="0.2">
      <c r="A268" s="14"/>
      <c r="B268" s="15"/>
      <c r="C268" s="41"/>
      <c r="D268" s="16"/>
      <c r="E268" s="3" t="s">
        <v>13</v>
      </c>
      <c r="F268" s="13">
        <v>0.42899999999999999</v>
      </c>
      <c r="G268" s="13">
        <v>0.14299999999999999</v>
      </c>
      <c r="H268" s="13">
        <v>0.28599999999999998</v>
      </c>
      <c r="I268" s="13">
        <v>0</v>
      </c>
      <c r="J268" s="13">
        <v>0.14299999999999999</v>
      </c>
      <c r="K268" s="36">
        <f t="shared" si="4"/>
        <v>0.57199999999999995</v>
      </c>
    </row>
    <row r="269" spans="1:11" s="1" customFormat="1" ht="9.6" customHeight="1" x14ac:dyDescent="0.2">
      <c r="A269" s="14"/>
      <c r="B269" s="15"/>
      <c r="C269" s="41"/>
      <c r="D269" s="16"/>
      <c r="E269" s="3" t="s">
        <v>14</v>
      </c>
      <c r="F269" s="13">
        <v>0.42899999999999999</v>
      </c>
      <c r="G269" s="13">
        <v>0.14299999999999999</v>
      </c>
      <c r="H269" s="13">
        <v>0.28599999999999998</v>
      </c>
      <c r="I269" s="13">
        <v>0</v>
      </c>
      <c r="J269" s="13">
        <v>0.14299999999999999</v>
      </c>
      <c r="K269" s="36">
        <f t="shared" si="4"/>
        <v>0.57199999999999995</v>
      </c>
    </row>
    <row r="270" spans="1:11" s="1" customFormat="1" ht="9.6" customHeight="1" x14ac:dyDescent="0.2">
      <c r="A270" s="14"/>
      <c r="B270" s="15"/>
      <c r="C270" s="41"/>
      <c r="D270" s="16"/>
      <c r="E270" s="3" t="s">
        <v>15</v>
      </c>
      <c r="F270" s="13">
        <v>0.42899999999999999</v>
      </c>
      <c r="G270" s="13">
        <v>0.14299999999999999</v>
      </c>
      <c r="H270" s="13">
        <v>0.28599999999999998</v>
      </c>
      <c r="I270" s="13">
        <v>0</v>
      </c>
      <c r="J270" s="13">
        <v>0.14299999999999999</v>
      </c>
      <c r="K270" s="36">
        <f t="shared" si="4"/>
        <v>0.57199999999999995</v>
      </c>
    </row>
    <row r="271" spans="1:11" s="1" customFormat="1" ht="9.6" customHeight="1" x14ac:dyDescent="0.2">
      <c r="A271" s="14"/>
      <c r="B271" s="15"/>
      <c r="C271" s="41"/>
      <c r="D271" s="16"/>
      <c r="E271" s="3" t="s">
        <v>16</v>
      </c>
      <c r="F271" s="13">
        <v>0.42899999999999999</v>
      </c>
      <c r="G271" s="13">
        <v>0.28599999999999998</v>
      </c>
      <c r="H271" s="13">
        <v>0</v>
      </c>
      <c r="I271" s="13">
        <v>0.28599999999999998</v>
      </c>
      <c r="J271" s="13">
        <v>0</v>
      </c>
      <c r="K271" s="36">
        <f t="shared" si="4"/>
        <v>0.71499999999999997</v>
      </c>
    </row>
    <row r="272" spans="1:11" s="1" customFormat="1" ht="9.6" customHeight="1" x14ac:dyDescent="0.2">
      <c r="A272" s="14"/>
      <c r="B272" s="15"/>
      <c r="C272" s="41"/>
      <c r="D272" s="16"/>
      <c r="E272" s="3" t="s">
        <v>17</v>
      </c>
      <c r="F272" s="13">
        <v>0.42899999999999999</v>
      </c>
      <c r="G272" s="13">
        <v>0.42899999999999999</v>
      </c>
      <c r="H272" s="13">
        <v>0</v>
      </c>
      <c r="I272" s="13">
        <v>0.14299999999999999</v>
      </c>
      <c r="J272" s="13">
        <v>0</v>
      </c>
      <c r="K272" s="36">
        <f t="shared" si="4"/>
        <v>0.85799999999999998</v>
      </c>
    </row>
    <row r="273" spans="1:11" ht="9.6" customHeight="1" x14ac:dyDescent="0.2">
      <c r="A273" s="17"/>
      <c r="B273" s="18"/>
      <c r="C273" s="42"/>
      <c r="D273" s="19"/>
      <c r="E273" s="3" t="s">
        <v>18</v>
      </c>
      <c r="F273" s="20">
        <v>0.42899999999999999</v>
      </c>
      <c r="G273" s="20">
        <v>0.14299999999999999</v>
      </c>
      <c r="H273" s="20">
        <v>0.28599999999999998</v>
      </c>
      <c r="I273" s="20">
        <v>0</v>
      </c>
      <c r="J273" s="20">
        <v>0.14299999999999999</v>
      </c>
      <c r="K273" s="36">
        <f t="shared" si="4"/>
        <v>0.57199999999999995</v>
      </c>
    </row>
    <row r="274" spans="1:11" s="1" customFormat="1" ht="9.6" customHeight="1" x14ac:dyDescent="0.2">
      <c r="A274" s="10" t="s">
        <v>66</v>
      </c>
      <c r="B274" s="11" t="s">
        <v>21</v>
      </c>
      <c r="C274" s="40" t="s">
        <v>71</v>
      </c>
      <c r="D274" s="12" t="s">
        <v>33</v>
      </c>
      <c r="E274" s="3" t="s">
        <v>11</v>
      </c>
      <c r="F274" s="13">
        <v>0</v>
      </c>
      <c r="G274" s="13">
        <v>0.14299999999999999</v>
      </c>
      <c r="H274" s="13">
        <v>0.214</v>
      </c>
      <c r="I274" s="13">
        <v>0.5</v>
      </c>
      <c r="J274" s="13">
        <v>0.14299999999999999</v>
      </c>
      <c r="K274" s="36">
        <f t="shared" si="4"/>
        <v>0.14299999999999999</v>
      </c>
    </row>
    <row r="275" spans="1:11" s="1" customFormat="1" ht="9.6" customHeight="1" x14ac:dyDescent="0.2">
      <c r="A275" s="14"/>
      <c r="B275" s="15"/>
      <c r="C275" s="41"/>
      <c r="D275" s="16"/>
      <c r="E275" s="3" t="s">
        <v>12</v>
      </c>
      <c r="F275" s="13">
        <v>0</v>
      </c>
      <c r="G275" s="13">
        <v>0.14299999999999999</v>
      </c>
      <c r="H275" s="13">
        <v>0.28599999999999998</v>
      </c>
      <c r="I275" s="13">
        <v>0.35699999999999998</v>
      </c>
      <c r="J275" s="13">
        <v>0.214</v>
      </c>
      <c r="K275" s="36">
        <f t="shared" si="4"/>
        <v>0.14299999999999999</v>
      </c>
    </row>
    <row r="276" spans="1:11" s="1" customFormat="1" ht="9.6" customHeight="1" x14ac:dyDescent="0.2">
      <c r="A276" s="14"/>
      <c r="B276" s="15"/>
      <c r="C276" s="41"/>
      <c r="D276" s="16"/>
      <c r="E276" s="3" t="s">
        <v>13</v>
      </c>
      <c r="F276" s="13">
        <v>0</v>
      </c>
      <c r="G276" s="13">
        <v>0</v>
      </c>
      <c r="H276" s="13">
        <v>0.214</v>
      </c>
      <c r="I276" s="13">
        <v>0.35699999999999998</v>
      </c>
      <c r="J276" s="13">
        <v>0.35699999999999998</v>
      </c>
      <c r="K276" s="36">
        <f t="shared" si="4"/>
        <v>0</v>
      </c>
    </row>
    <row r="277" spans="1:11" s="1" customFormat="1" ht="9.6" customHeight="1" x14ac:dyDescent="0.2">
      <c r="A277" s="14"/>
      <c r="B277" s="15"/>
      <c r="C277" s="41"/>
      <c r="D277" s="16"/>
      <c r="E277" s="3" t="s">
        <v>14</v>
      </c>
      <c r="F277" s="13">
        <v>0</v>
      </c>
      <c r="G277" s="13">
        <v>0</v>
      </c>
      <c r="H277" s="13">
        <v>0.214</v>
      </c>
      <c r="I277" s="13">
        <v>0.214</v>
      </c>
      <c r="J277" s="13">
        <v>0.35699999999999998</v>
      </c>
      <c r="K277" s="36">
        <f t="shared" si="4"/>
        <v>0</v>
      </c>
    </row>
    <row r="278" spans="1:11" s="1" customFormat="1" ht="9.6" customHeight="1" x14ac:dyDescent="0.2">
      <c r="A278" s="14"/>
      <c r="B278" s="15"/>
      <c r="C278" s="41"/>
      <c r="D278" s="16"/>
      <c r="E278" s="3" t="s">
        <v>15</v>
      </c>
      <c r="F278" s="13">
        <v>0</v>
      </c>
      <c r="G278" s="13">
        <v>0</v>
      </c>
      <c r="H278" s="13">
        <v>0.28599999999999998</v>
      </c>
      <c r="I278" s="13">
        <v>0.5</v>
      </c>
      <c r="J278" s="13">
        <v>0.14299999999999999</v>
      </c>
      <c r="K278" s="36">
        <f t="shared" si="4"/>
        <v>0</v>
      </c>
    </row>
    <row r="279" spans="1:11" s="1" customFormat="1" ht="9.6" customHeight="1" x14ac:dyDescent="0.2">
      <c r="A279" s="14"/>
      <c r="B279" s="15"/>
      <c r="C279" s="41"/>
      <c r="D279" s="16"/>
      <c r="E279" s="3" t="s">
        <v>16</v>
      </c>
      <c r="F279" s="13">
        <v>7.0999999999999994E-2</v>
      </c>
      <c r="G279" s="13">
        <v>7.0999999999999994E-2</v>
      </c>
      <c r="H279" s="13">
        <v>7.0999999999999994E-2</v>
      </c>
      <c r="I279" s="13">
        <v>0.35699999999999998</v>
      </c>
      <c r="J279" s="13">
        <v>0.28599999999999998</v>
      </c>
      <c r="K279" s="36">
        <f t="shared" si="4"/>
        <v>0.14199999999999999</v>
      </c>
    </row>
    <row r="280" spans="1:11" s="1" customFormat="1" ht="9.6" customHeight="1" x14ac:dyDescent="0.2">
      <c r="A280" s="14"/>
      <c r="B280" s="15"/>
      <c r="C280" s="41"/>
      <c r="D280" s="16"/>
      <c r="E280" s="3" t="s">
        <v>17</v>
      </c>
      <c r="F280" s="13">
        <v>7.0999999999999994E-2</v>
      </c>
      <c r="G280" s="13">
        <v>0.214</v>
      </c>
      <c r="H280" s="13">
        <v>7.0999999999999994E-2</v>
      </c>
      <c r="I280" s="13">
        <v>0.35699999999999998</v>
      </c>
      <c r="J280" s="13">
        <v>0.28599999999999998</v>
      </c>
      <c r="K280" s="36">
        <f t="shared" si="4"/>
        <v>0.28499999999999998</v>
      </c>
    </row>
    <row r="281" spans="1:11" ht="9.6" customHeight="1" x14ac:dyDescent="0.2">
      <c r="A281" s="17"/>
      <c r="B281" s="18"/>
      <c r="C281" s="42"/>
      <c r="D281" s="19"/>
      <c r="E281" s="3" t="s">
        <v>18</v>
      </c>
      <c r="F281" s="20">
        <v>0</v>
      </c>
      <c r="G281" s="20">
        <v>0.14299999999999999</v>
      </c>
      <c r="H281" s="20">
        <v>0</v>
      </c>
      <c r="I281" s="20">
        <v>0.42899999999999999</v>
      </c>
      <c r="J281" s="20">
        <v>0.42899999999999999</v>
      </c>
      <c r="K281" s="36">
        <f t="shared" si="4"/>
        <v>0.14299999999999999</v>
      </c>
    </row>
    <row r="282" spans="1:11" s="1" customFormat="1" ht="9.6" customHeight="1" x14ac:dyDescent="0.2">
      <c r="A282" s="10" t="s">
        <v>66</v>
      </c>
      <c r="B282" s="11" t="s">
        <v>21</v>
      </c>
      <c r="C282" s="40" t="s">
        <v>30</v>
      </c>
      <c r="D282" s="12" t="s">
        <v>10</v>
      </c>
      <c r="E282" s="3" t="s">
        <v>11</v>
      </c>
      <c r="F282" s="13">
        <v>0.71399999999999997</v>
      </c>
      <c r="G282" s="13">
        <v>0.14299999999999999</v>
      </c>
      <c r="H282" s="13">
        <v>0</v>
      </c>
      <c r="I282" s="13">
        <v>0.14299999999999999</v>
      </c>
      <c r="J282" s="13">
        <v>0</v>
      </c>
      <c r="K282" s="36">
        <f t="shared" si="4"/>
        <v>0.85699999999999998</v>
      </c>
    </row>
    <row r="283" spans="1:11" s="1" customFormat="1" ht="9.6" customHeight="1" x14ac:dyDescent="0.2">
      <c r="A283" s="14"/>
      <c r="B283" s="15"/>
      <c r="C283" s="41"/>
      <c r="D283" s="16"/>
      <c r="E283" s="3" t="s">
        <v>12</v>
      </c>
      <c r="F283" s="13">
        <v>0.71399999999999997</v>
      </c>
      <c r="G283" s="13">
        <v>0.14299999999999999</v>
      </c>
      <c r="H283" s="13">
        <v>0</v>
      </c>
      <c r="I283" s="13">
        <v>0.14299999999999999</v>
      </c>
      <c r="J283" s="13">
        <v>0</v>
      </c>
      <c r="K283" s="36">
        <f t="shared" si="4"/>
        <v>0.85699999999999998</v>
      </c>
    </row>
    <row r="284" spans="1:11" s="1" customFormat="1" ht="9.6" customHeight="1" x14ac:dyDescent="0.2">
      <c r="A284" s="14"/>
      <c r="B284" s="15"/>
      <c r="C284" s="41"/>
      <c r="D284" s="16"/>
      <c r="E284" s="3" t="s">
        <v>13</v>
      </c>
      <c r="F284" s="13">
        <v>0.71399999999999997</v>
      </c>
      <c r="G284" s="13">
        <v>0.14299999999999999</v>
      </c>
      <c r="H284" s="13">
        <v>0</v>
      </c>
      <c r="I284" s="13">
        <v>0</v>
      </c>
      <c r="J284" s="13">
        <v>0.14299999999999999</v>
      </c>
      <c r="K284" s="36">
        <f t="shared" si="4"/>
        <v>0.85699999999999998</v>
      </c>
    </row>
    <row r="285" spans="1:11" s="1" customFormat="1" ht="9.6" customHeight="1" x14ac:dyDescent="0.2">
      <c r="A285" s="14"/>
      <c r="B285" s="15"/>
      <c r="C285" s="41"/>
      <c r="D285" s="16"/>
      <c r="E285" s="3" t="s">
        <v>14</v>
      </c>
      <c r="F285" s="13">
        <v>0.57099999999999995</v>
      </c>
      <c r="G285" s="13">
        <v>0</v>
      </c>
      <c r="H285" s="13">
        <v>0.28599999999999998</v>
      </c>
      <c r="I285" s="13">
        <v>0.14299999999999999</v>
      </c>
      <c r="J285" s="13">
        <v>0</v>
      </c>
      <c r="K285" s="36">
        <f t="shared" si="4"/>
        <v>0.57099999999999995</v>
      </c>
    </row>
    <row r="286" spans="1:11" s="1" customFormat="1" ht="9.6" customHeight="1" x14ac:dyDescent="0.2">
      <c r="A286" s="14"/>
      <c r="B286" s="15"/>
      <c r="C286" s="41"/>
      <c r="D286" s="16"/>
      <c r="E286" s="3" t="s">
        <v>15</v>
      </c>
      <c r="F286" s="13">
        <v>0.71399999999999997</v>
      </c>
      <c r="G286" s="13">
        <v>0.14299999999999999</v>
      </c>
      <c r="H286" s="13">
        <v>0</v>
      </c>
      <c r="I286" s="13">
        <v>0.14299999999999999</v>
      </c>
      <c r="J286" s="13">
        <v>0</v>
      </c>
      <c r="K286" s="36">
        <f t="shared" si="4"/>
        <v>0.85699999999999998</v>
      </c>
    </row>
    <row r="287" spans="1:11" s="1" customFormat="1" ht="9.6" customHeight="1" x14ac:dyDescent="0.2">
      <c r="A287" s="14"/>
      <c r="B287" s="15"/>
      <c r="C287" s="41"/>
      <c r="D287" s="16"/>
      <c r="E287" s="3" t="s">
        <v>16</v>
      </c>
      <c r="F287" s="13">
        <v>0.71399999999999997</v>
      </c>
      <c r="G287" s="13">
        <v>0.14299999999999999</v>
      </c>
      <c r="H287" s="13">
        <v>0</v>
      </c>
      <c r="I287" s="13">
        <v>0.14299999999999999</v>
      </c>
      <c r="J287" s="13">
        <v>0</v>
      </c>
      <c r="K287" s="36">
        <f t="shared" si="4"/>
        <v>0.85699999999999998</v>
      </c>
    </row>
    <row r="288" spans="1:11" s="1" customFormat="1" ht="9.6" customHeight="1" x14ac:dyDescent="0.2">
      <c r="A288" s="14"/>
      <c r="B288" s="15"/>
      <c r="C288" s="41"/>
      <c r="D288" s="16"/>
      <c r="E288" s="3" t="s">
        <v>17</v>
      </c>
      <c r="F288" s="13">
        <v>0.71399999999999997</v>
      </c>
      <c r="G288" s="13">
        <v>0.14299999999999999</v>
      </c>
      <c r="H288" s="13">
        <v>0</v>
      </c>
      <c r="I288" s="13">
        <v>0.14299999999999999</v>
      </c>
      <c r="J288" s="13">
        <v>0</v>
      </c>
      <c r="K288" s="36">
        <f t="shared" si="4"/>
        <v>0.85699999999999998</v>
      </c>
    </row>
    <row r="289" spans="1:11" ht="9.6" customHeight="1" x14ac:dyDescent="0.2">
      <c r="A289" s="17"/>
      <c r="B289" s="18"/>
      <c r="C289" s="42"/>
      <c r="D289" s="19"/>
      <c r="E289" s="3" t="s">
        <v>18</v>
      </c>
      <c r="F289" s="20">
        <v>0.71399999999999997</v>
      </c>
      <c r="G289" s="20">
        <v>0.14299999999999999</v>
      </c>
      <c r="H289" s="20">
        <v>0</v>
      </c>
      <c r="I289" s="20">
        <v>0</v>
      </c>
      <c r="J289" s="20">
        <v>0.14299999999999999</v>
      </c>
      <c r="K289" s="36">
        <f t="shared" si="4"/>
        <v>0.85699999999999998</v>
      </c>
    </row>
    <row r="290" spans="1:11" s="1" customFormat="1" ht="9.6" customHeight="1" x14ac:dyDescent="0.2">
      <c r="A290" s="10" t="s">
        <v>72</v>
      </c>
      <c r="B290" s="11" t="s">
        <v>73</v>
      </c>
      <c r="C290" s="40" t="s">
        <v>74</v>
      </c>
      <c r="D290" s="12" t="s">
        <v>33</v>
      </c>
      <c r="E290" s="3" t="s">
        <v>11</v>
      </c>
      <c r="F290" s="13">
        <v>0.81499999999999995</v>
      </c>
      <c r="G290" s="13">
        <v>0.111</v>
      </c>
      <c r="H290" s="13">
        <v>7.3999999999999996E-2</v>
      </c>
      <c r="I290" s="13">
        <v>0</v>
      </c>
      <c r="J290" s="13">
        <v>0</v>
      </c>
      <c r="K290" s="36">
        <f t="shared" si="4"/>
        <v>0.92599999999999993</v>
      </c>
    </row>
    <row r="291" spans="1:11" s="1" customFormat="1" ht="9.6" customHeight="1" x14ac:dyDescent="0.2">
      <c r="A291" s="14"/>
      <c r="B291" s="15"/>
      <c r="C291" s="41"/>
      <c r="D291" s="16"/>
      <c r="E291" s="3" t="s">
        <v>12</v>
      </c>
      <c r="F291" s="13">
        <v>0.77800000000000002</v>
      </c>
      <c r="G291" s="13">
        <v>0.14799999999999999</v>
      </c>
      <c r="H291" s="13">
        <v>3.6999999999999998E-2</v>
      </c>
      <c r="I291" s="13">
        <v>3.6999999999999998E-2</v>
      </c>
      <c r="J291" s="13">
        <v>0</v>
      </c>
      <c r="K291" s="36">
        <f t="shared" si="4"/>
        <v>0.92600000000000005</v>
      </c>
    </row>
    <row r="292" spans="1:11" s="1" customFormat="1" ht="9.6" customHeight="1" x14ac:dyDescent="0.2">
      <c r="A292" s="14"/>
      <c r="B292" s="15"/>
      <c r="C292" s="41"/>
      <c r="D292" s="16"/>
      <c r="E292" s="3" t="s">
        <v>13</v>
      </c>
      <c r="F292" s="13">
        <v>0.77800000000000002</v>
      </c>
      <c r="G292" s="13">
        <v>0.14799999999999999</v>
      </c>
      <c r="H292" s="13">
        <v>7.3999999999999996E-2</v>
      </c>
      <c r="I292" s="13">
        <v>0</v>
      </c>
      <c r="J292" s="13">
        <v>0</v>
      </c>
      <c r="K292" s="36">
        <f t="shared" si="4"/>
        <v>0.92600000000000005</v>
      </c>
    </row>
    <row r="293" spans="1:11" s="1" customFormat="1" ht="9.6" customHeight="1" x14ac:dyDescent="0.2">
      <c r="A293" s="14"/>
      <c r="B293" s="15"/>
      <c r="C293" s="41"/>
      <c r="D293" s="16"/>
      <c r="E293" s="3" t="s">
        <v>14</v>
      </c>
      <c r="F293" s="13">
        <v>0.74099999999999999</v>
      </c>
      <c r="G293" s="13">
        <v>0.185</v>
      </c>
      <c r="H293" s="13">
        <v>3.6999999999999998E-2</v>
      </c>
      <c r="I293" s="13">
        <v>3.6999999999999998E-2</v>
      </c>
      <c r="J293" s="13">
        <v>0</v>
      </c>
      <c r="K293" s="36">
        <f t="shared" si="4"/>
        <v>0.92599999999999993</v>
      </c>
    </row>
    <row r="294" spans="1:11" s="1" customFormat="1" ht="9.6" customHeight="1" x14ac:dyDescent="0.2">
      <c r="A294" s="14"/>
      <c r="B294" s="15"/>
      <c r="C294" s="41"/>
      <c r="D294" s="16"/>
      <c r="E294" s="3" t="s">
        <v>15</v>
      </c>
      <c r="F294" s="13">
        <v>0.77800000000000002</v>
      </c>
      <c r="G294" s="13">
        <v>0.14799999999999999</v>
      </c>
      <c r="H294" s="13">
        <v>3.6999999999999998E-2</v>
      </c>
      <c r="I294" s="13">
        <v>0</v>
      </c>
      <c r="J294" s="13">
        <v>0</v>
      </c>
      <c r="K294" s="36">
        <f t="shared" si="4"/>
        <v>0.92600000000000005</v>
      </c>
    </row>
    <row r="295" spans="1:11" s="1" customFormat="1" ht="9.6" customHeight="1" x14ac:dyDescent="0.2">
      <c r="A295" s="14"/>
      <c r="B295" s="15"/>
      <c r="C295" s="41"/>
      <c r="D295" s="16"/>
      <c r="E295" s="3" t="s">
        <v>16</v>
      </c>
      <c r="F295" s="13">
        <v>0.85199999999999998</v>
      </c>
      <c r="G295" s="13">
        <v>0.111</v>
      </c>
      <c r="H295" s="13">
        <v>3.6999999999999998E-2</v>
      </c>
      <c r="I295" s="13">
        <v>0</v>
      </c>
      <c r="J295" s="13">
        <v>0</v>
      </c>
      <c r="K295" s="36">
        <f t="shared" si="4"/>
        <v>0.96299999999999997</v>
      </c>
    </row>
    <row r="296" spans="1:11" s="1" customFormat="1" ht="9.6" customHeight="1" x14ac:dyDescent="0.2">
      <c r="A296" s="14"/>
      <c r="B296" s="15"/>
      <c r="C296" s="41"/>
      <c r="D296" s="16"/>
      <c r="E296" s="3" t="s">
        <v>17</v>
      </c>
      <c r="F296" s="13">
        <v>0.81499999999999995</v>
      </c>
      <c r="G296" s="13">
        <v>0.111</v>
      </c>
      <c r="H296" s="13">
        <v>7.3999999999999996E-2</v>
      </c>
      <c r="I296" s="13">
        <v>0</v>
      </c>
      <c r="J296" s="13">
        <v>0</v>
      </c>
      <c r="K296" s="36">
        <f t="shared" si="4"/>
        <v>0.92599999999999993</v>
      </c>
    </row>
    <row r="297" spans="1:11" ht="9.6" customHeight="1" x14ac:dyDescent="0.2">
      <c r="A297" s="17"/>
      <c r="B297" s="18"/>
      <c r="C297" s="42"/>
      <c r="D297" s="19"/>
      <c r="E297" s="3" t="s">
        <v>18</v>
      </c>
      <c r="F297" s="20">
        <v>0.77800000000000002</v>
      </c>
      <c r="G297" s="20">
        <v>0.185</v>
      </c>
      <c r="H297" s="20">
        <v>3.6999999999999998E-2</v>
      </c>
      <c r="I297" s="20">
        <v>0</v>
      </c>
      <c r="J297" s="20">
        <v>0</v>
      </c>
      <c r="K297" s="36">
        <f t="shared" si="4"/>
        <v>0.96300000000000008</v>
      </c>
    </row>
    <row r="298" spans="1:11" s="1" customFormat="1" ht="9.6" customHeight="1" x14ac:dyDescent="0.15">
      <c r="A298" s="10" t="s">
        <v>72</v>
      </c>
      <c r="B298" s="11" t="s">
        <v>75</v>
      </c>
      <c r="C298" s="43" t="s">
        <v>57</v>
      </c>
      <c r="D298" s="21" t="s">
        <v>33</v>
      </c>
      <c r="E298" s="3" t="s">
        <v>11</v>
      </c>
      <c r="F298" s="13">
        <v>0.52200000000000002</v>
      </c>
      <c r="G298" s="13">
        <v>4.2999999999999997E-2</v>
      </c>
      <c r="H298" s="13">
        <v>0.217</v>
      </c>
      <c r="I298" s="13">
        <v>0.13</v>
      </c>
      <c r="J298" s="13">
        <v>8.6999999999999994E-2</v>
      </c>
      <c r="K298" s="36">
        <f t="shared" si="4"/>
        <v>0.56500000000000006</v>
      </c>
    </row>
    <row r="299" spans="1:11" s="1" customFormat="1" ht="9.6" customHeight="1" x14ac:dyDescent="0.15">
      <c r="A299" s="14"/>
      <c r="B299" s="15"/>
      <c r="C299" s="44"/>
      <c r="D299" s="22"/>
      <c r="E299" s="3" t="s">
        <v>12</v>
      </c>
      <c r="F299" s="13">
        <v>0.47799999999999998</v>
      </c>
      <c r="G299" s="13">
        <v>4.2999999999999997E-2</v>
      </c>
      <c r="H299" s="13">
        <v>0.30399999999999999</v>
      </c>
      <c r="I299" s="13">
        <v>8.6999999999999994E-2</v>
      </c>
      <c r="J299" s="13">
        <v>8.6999999999999994E-2</v>
      </c>
      <c r="K299" s="36">
        <f t="shared" si="4"/>
        <v>0.52100000000000002</v>
      </c>
    </row>
    <row r="300" spans="1:11" s="1" customFormat="1" ht="9.6" customHeight="1" x14ac:dyDescent="0.15">
      <c r="A300" s="14"/>
      <c r="B300" s="15"/>
      <c r="C300" s="44"/>
      <c r="D300" s="22"/>
      <c r="E300" s="3" t="s">
        <v>13</v>
      </c>
      <c r="F300" s="13">
        <v>0.26100000000000001</v>
      </c>
      <c r="G300" s="13">
        <v>0.217</v>
      </c>
      <c r="H300" s="13">
        <v>0.217</v>
      </c>
      <c r="I300" s="13">
        <v>0.13</v>
      </c>
      <c r="J300" s="13">
        <v>0.17399999999999999</v>
      </c>
      <c r="K300" s="36">
        <f t="shared" si="4"/>
        <v>0.47799999999999998</v>
      </c>
    </row>
    <row r="301" spans="1:11" s="1" customFormat="1" ht="9.6" customHeight="1" x14ac:dyDescent="0.15">
      <c r="A301" s="14"/>
      <c r="B301" s="15"/>
      <c r="C301" s="44"/>
      <c r="D301" s="22"/>
      <c r="E301" s="23" t="s">
        <v>14</v>
      </c>
      <c r="F301" s="24">
        <v>0.34799999999999998</v>
      </c>
      <c r="G301" s="24">
        <v>8.6999999999999994E-2</v>
      </c>
      <c r="H301" s="24">
        <v>0.217</v>
      </c>
      <c r="I301" s="24">
        <v>0.17399999999999999</v>
      </c>
      <c r="J301" s="24">
        <v>0.17399999999999999</v>
      </c>
      <c r="K301" s="36">
        <f t="shared" si="4"/>
        <v>0.43499999999999994</v>
      </c>
    </row>
    <row r="302" spans="1:11" s="1" customFormat="1" ht="9.6" customHeight="1" x14ac:dyDescent="0.2">
      <c r="A302" s="14"/>
      <c r="B302" s="15"/>
      <c r="C302" s="45"/>
      <c r="D302" s="25"/>
      <c r="E302" s="26" t="s">
        <v>15</v>
      </c>
      <c r="F302" s="27">
        <v>0.30399999999999999</v>
      </c>
      <c r="G302" s="27">
        <v>4.2999999999999997E-2</v>
      </c>
      <c r="H302" s="27">
        <v>0.34799999999999998</v>
      </c>
      <c r="I302" s="27">
        <v>0.13</v>
      </c>
      <c r="J302" s="27">
        <v>0.17399999999999999</v>
      </c>
      <c r="K302" s="36">
        <f t="shared" si="4"/>
        <v>0.34699999999999998</v>
      </c>
    </row>
    <row r="303" spans="1:11" s="1" customFormat="1" ht="9.6" customHeight="1" x14ac:dyDescent="0.2">
      <c r="A303" s="14"/>
      <c r="B303" s="15"/>
      <c r="C303" s="45"/>
      <c r="D303" s="25"/>
      <c r="E303" s="3" t="s">
        <v>16</v>
      </c>
      <c r="F303" s="13">
        <v>0.47799999999999998</v>
      </c>
      <c r="G303" s="13">
        <v>0.30399999999999999</v>
      </c>
      <c r="H303" s="13">
        <v>8.6999999999999994E-2</v>
      </c>
      <c r="I303" s="13">
        <v>8.6999999999999994E-2</v>
      </c>
      <c r="J303" s="13">
        <v>0</v>
      </c>
      <c r="K303" s="36">
        <f t="shared" si="4"/>
        <v>0.78200000000000003</v>
      </c>
    </row>
    <row r="304" spans="1:11" s="1" customFormat="1" ht="9.6" customHeight="1" x14ac:dyDescent="0.2">
      <c r="A304" s="14"/>
      <c r="B304" s="15"/>
      <c r="C304" s="45"/>
      <c r="D304" s="25"/>
      <c r="E304" s="3" t="s">
        <v>17</v>
      </c>
      <c r="F304" s="13">
        <v>0.56499999999999995</v>
      </c>
      <c r="G304" s="13">
        <v>0.30399999999999999</v>
      </c>
      <c r="H304" s="13">
        <v>4.2999999999999997E-2</v>
      </c>
      <c r="I304" s="13">
        <v>8.6999999999999994E-2</v>
      </c>
      <c r="J304" s="13">
        <v>0</v>
      </c>
      <c r="K304" s="36">
        <f t="shared" si="4"/>
        <v>0.86899999999999999</v>
      </c>
    </row>
    <row r="305" spans="1:11" ht="9.6" customHeight="1" x14ac:dyDescent="0.2">
      <c r="A305" s="17"/>
      <c r="B305" s="18"/>
      <c r="C305" s="46"/>
      <c r="D305" s="28"/>
      <c r="E305" s="3" t="s">
        <v>18</v>
      </c>
      <c r="F305" s="20">
        <v>0.30399999999999999</v>
      </c>
      <c r="G305" s="20">
        <v>0.17399999999999999</v>
      </c>
      <c r="H305" s="20">
        <v>0.26100000000000001</v>
      </c>
      <c r="I305" s="20">
        <v>0.17399999999999999</v>
      </c>
      <c r="J305" s="20">
        <v>8.6999999999999994E-2</v>
      </c>
      <c r="K305" s="36">
        <f t="shared" si="4"/>
        <v>0.47799999999999998</v>
      </c>
    </row>
    <row r="306" spans="1:11" s="1" customFormat="1" ht="9.6" customHeight="1" x14ac:dyDescent="0.2">
      <c r="A306" s="10" t="s">
        <v>72</v>
      </c>
      <c r="B306" s="11" t="s">
        <v>76</v>
      </c>
      <c r="C306" s="40" t="s">
        <v>77</v>
      </c>
      <c r="D306" s="12" t="s">
        <v>33</v>
      </c>
      <c r="E306" s="3" t="s">
        <v>11</v>
      </c>
      <c r="F306" s="13">
        <v>0.64700000000000002</v>
      </c>
      <c r="G306" s="13">
        <v>0.23499999999999999</v>
      </c>
      <c r="H306" s="13">
        <v>9.8000000000000004E-2</v>
      </c>
      <c r="I306" s="13">
        <v>0</v>
      </c>
      <c r="J306" s="13">
        <v>0.02</v>
      </c>
      <c r="K306" s="36">
        <f t="shared" si="4"/>
        <v>0.88200000000000001</v>
      </c>
    </row>
    <row r="307" spans="1:11" s="1" customFormat="1" ht="9.6" customHeight="1" x14ac:dyDescent="0.2">
      <c r="A307" s="14"/>
      <c r="B307" s="15"/>
      <c r="C307" s="41"/>
      <c r="D307" s="16"/>
      <c r="E307" s="3" t="s">
        <v>12</v>
      </c>
      <c r="F307" s="13">
        <v>0.627</v>
      </c>
      <c r="G307" s="13">
        <v>0.216</v>
      </c>
      <c r="H307" s="13">
        <v>9.8000000000000004E-2</v>
      </c>
      <c r="I307" s="13">
        <v>5.8999999999999997E-2</v>
      </c>
      <c r="J307" s="13">
        <v>0</v>
      </c>
      <c r="K307" s="36">
        <f t="shared" si="4"/>
        <v>0.84299999999999997</v>
      </c>
    </row>
    <row r="308" spans="1:11" s="1" customFormat="1" ht="9.6" customHeight="1" x14ac:dyDescent="0.2">
      <c r="A308" s="14"/>
      <c r="B308" s="15"/>
      <c r="C308" s="41"/>
      <c r="D308" s="16"/>
      <c r="E308" s="3" t="s">
        <v>13</v>
      </c>
      <c r="F308" s="13">
        <v>0.52900000000000003</v>
      </c>
      <c r="G308" s="13">
        <v>0.13700000000000001</v>
      </c>
      <c r="H308" s="13">
        <v>0.255</v>
      </c>
      <c r="I308" s="13">
        <v>5.8999999999999997E-2</v>
      </c>
      <c r="J308" s="13">
        <v>0.02</v>
      </c>
      <c r="K308" s="36">
        <f t="shared" si="4"/>
        <v>0.66600000000000004</v>
      </c>
    </row>
    <row r="309" spans="1:11" s="1" customFormat="1" ht="9.6" customHeight="1" x14ac:dyDescent="0.2">
      <c r="A309" s="14"/>
      <c r="B309" s="15"/>
      <c r="C309" s="41"/>
      <c r="D309" s="16"/>
      <c r="E309" s="3" t="s">
        <v>14</v>
      </c>
      <c r="F309" s="13">
        <v>0.627</v>
      </c>
      <c r="G309" s="13">
        <v>0.17599999999999999</v>
      </c>
      <c r="H309" s="13">
        <v>0.11799999999999999</v>
      </c>
      <c r="I309" s="13">
        <v>0</v>
      </c>
      <c r="J309" s="13">
        <v>7.8E-2</v>
      </c>
      <c r="K309" s="36">
        <f t="shared" si="4"/>
        <v>0.80299999999999994</v>
      </c>
    </row>
    <row r="310" spans="1:11" s="1" customFormat="1" ht="9.6" customHeight="1" x14ac:dyDescent="0.2">
      <c r="A310" s="14"/>
      <c r="B310" s="15"/>
      <c r="C310" s="41"/>
      <c r="D310" s="16"/>
      <c r="E310" s="3" t="s">
        <v>15</v>
      </c>
      <c r="F310" s="13">
        <v>0.56899999999999995</v>
      </c>
      <c r="G310" s="13">
        <v>0.23499999999999999</v>
      </c>
      <c r="H310" s="13">
        <v>0.11799999999999999</v>
      </c>
      <c r="I310" s="13">
        <v>3.9E-2</v>
      </c>
      <c r="J310" s="13">
        <v>3.9E-2</v>
      </c>
      <c r="K310" s="36">
        <f t="shared" si="4"/>
        <v>0.80399999999999994</v>
      </c>
    </row>
    <row r="311" spans="1:11" s="1" customFormat="1" ht="9.6" customHeight="1" x14ac:dyDescent="0.2">
      <c r="A311" s="14"/>
      <c r="B311" s="15"/>
      <c r="C311" s="41"/>
      <c r="D311" s="16"/>
      <c r="E311" s="3" t="s">
        <v>16</v>
      </c>
      <c r="F311" s="13">
        <v>0.66700000000000004</v>
      </c>
      <c r="G311" s="13">
        <v>9.8000000000000004E-2</v>
      </c>
      <c r="H311" s="13">
        <v>0.216</v>
      </c>
      <c r="I311" s="13">
        <v>0.02</v>
      </c>
      <c r="J311" s="13">
        <v>0</v>
      </c>
      <c r="K311" s="36">
        <f t="shared" si="4"/>
        <v>0.76500000000000001</v>
      </c>
    </row>
    <row r="312" spans="1:11" s="1" customFormat="1" ht="9.6" customHeight="1" x14ac:dyDescent="0.2">
      <c r="A312" s="14"/>
      <c r="B312" s="15"/>
      <c r="C312" s="41"/>
      <c r="D312" s="16"/>
      <c r="E312" s="3" t="s">
        <v>17</v>
      </c>
      <c r="F312" s="13">
        <v>0.745</v>
      </c>
      <c r="G312" s="13">
        <v>0.11799999999999999</v>
      </c>
      <c r="H312" s="13">
        <v>0.13700000000000001</v>
      </c>
      <c r="I312" s="13">
        <v>0</v>
      </c>
      <c r="J312" s="13">
        <v>0</v>
      </c>
      <c r="K312" s="36">
        <f t="shared" si="4"/>
        <v>0.86299999999999999</v>
      </c>
    </row>
    <row r="313" spans="1:11" ht="9.6" customHeight="1" x14ac:dyDescent="0.2">
      <c r="A313" s="17"/>
      <c r="B313" s="18"/>
      <c r="C313" s="42"/>
      <c r="D313" s="19"/>
      <c r="E313" s="3" t="s">
        <v>18</v>
      </c>
      <c r="F313" s="20">
        <v>0.627</v>
      </c>
      <c r="G313" s="20">
        <v>0.216</v>
      </c>
      <c r="H313" s="20">
        <v>0.13700000000000001</v>
      </c>
      <c r="I313" s="20">
        <v>0.02</v>
      </c>
      <c r="J313" s="20">
        <v>0</v>
      </c>
      <c r="K313" s="36">
        <f t="shared" si="4"/>
        <v>0.84299999999999997</v>
      </c>
    </row>
    <row r="314" spans="1:11" s="1" customFormat="1" ht="9.6" customHeight="1" x14ac:dyDescent="0.2">
      <c r="A314" s="10" t="s">
        <v>72</v>
      </c>
      <c r="B314" s="11" t="s">
        <v>78</v>
      </c>
      <c r="C314" s="40" t="s">
        <v>79</v>
      </c>
      <c r="D314" s="12" t="s">
        <v>10</v>
      </c>
      <c r="E314" s="3" t="s">
        <v>11</v>
      </c>
      <c r="F314" s="13">
        <v>0.45100000000000001</v>
      </c>
      <c r="G314" s="13">
        <v>0.23899999999999999</v>
      </c>
      <c r="H314" s="13">
        <v>0.22500000000000001</v>
      </c>
      <c r="I314" s="13">
        <v>8.5000000000000006E-2</v>
      </c>
      <c r="J314" s="13">
        <v>0</v>
      </c>
      <c r="K314" s="36">
        <f t="shared" si="4"/>
        <v>0.69</v>
      </c>
    </row>
    <row r="315" spans="1:11" s="1" customFormat="1" ht="9.6" customHeight="1" x14ac:dyDescent="0.2">
      <c r="A315" s="14"/>
      <c r="B315" s="15"/>
      <c r="C315" s="41"/>
      <c r="D315" s="16"/>
      <c r="E315" s="3" t="s">
        <v>12</v>
      </c>
      <c r="F315" s="13">
        <v>0.52100000000000002</v>
      </c>
      <c r="G315" s="13">
        <v>0.16900000000000001</v>
      </c>
      <c r="H315" s="13">
        <v>0.23899999999999999</v>
      </c>
      <c r="I315" s="13">
        <v>5.6000000000000001E-2</v>
      </c>
      <c r="J315" s="13">
        <v>1.4E-2</v>
      </c>
      <c r="K315" s="36">
        <f t="shared" si="4"/>
        <v>0.69000000000000006</v>
      </c>
    </row>
    <row r="316" spans="1:11" s="1" customFormat="1" ht="9.6" customHeight="1" x14ac:dyDescent="0.2">
      <c r="A316" s="14"/>
      <c r="B316" s="15"/>
      <c r="C316" s="41"/>
      <c r="D316" s="16"/>
      <c r="E316" s="3" t="s">
        <v>13</v>
      </c>
      <c r="F316" s="13">
        <v>0.47899999999999998</v>
      </c>
      <c r="G316" s="13">
        <v>0.14099999999999999</v>
      </c>
      <c r="H316" s="13">
        <v>0.23899999999999999</v>
      </c>
      <c r="I316" s="13">
        <v>0.113</v>
      </c>
      <c r="J316" s="13">
        <v>1.4E-2</v>
      </c>
      <c r="K316" s="36">
        <f t="shared" si="4"/>
        <v>0.62</v>
      </c>
    </row>
    <row r="317" spans="1:11" s="1" customFormat="1" ht="9.6" customHeight="1" x14ac:dyDescent="0.2">
      <c r="A317" s="14"/>
      <c r="B317" s="15"/>
      <c r="C317" s="41"/>
      <c r="D317" s="16"/>
      <c r="E317" s="23" t="s">
        <v>14</v>
      </c>
      <c r="F317" s="24">
        <v>0.46500000000000002</v>
      </c>
      <c r="G317" s="24">
        <v>0.14099999999999999</v>
      </c>
      <c r="H317" s="24">
        <v>0.26800000000000002</v>
      </c>
      <c r="I317" s="24">
        <v>2.8000000000000001E-2</v>
      </c>
      <c r="J317" s="24">
        <v>7.0000000000000007E-2</v>
      </c>
      <c r="K317" s="36">
        <f t="shared" si="4"/>
        <v>0.60599999999999998</v>
      </c>
    </row>
    <row r="318" spans="1:11" s="1" customFormat="1" ht="9.6" customHeight="1" x14ac:dyDescent="0.2">
      <c r="A318" s="30"/>
      <c r="B318" s="31"/>
      <c r="C318" s="38"/>
      <c r="D318" s="32"/>
      <c r="E318" s="5" t="s">
        <v>15</v>
      </c>
      <c r="F318" s="33">
        <v>0.45100000000000001</v>
      </c>
      <c r="G318" s="33">
        <v>0.14099999999999999</v>
      </c>
      <c r="H318" s="33">
        <v>0.28199999999999997</v>
      </c>
      <c r="I318" s="33">
        <v>7.0000000000000007E-2</v>
      </c>
      <c r="J318" s="33">
        <v>2.8000000000000001E-2</v>
      </c>
      <c r="K318" s="36">
        <f t="shared" si="4"/>
        <v>0.59199999999999997</v>
      </c>
    </row>
    <row r="319" spans="1:11" s="1" customFormat="1" ht="9.6" customHeight="1" x14ac:dyDescent="0.2">
      <c r="A319" s="30"/>
      <c r="B319" s="31"/>
      <c r="C319" s="38"/>
      <c r="D319" s="32"/>
      <c r="E319" s="5" t="s">
        <v>16</v>
      </c>
      <c r="F319" s="33">
        <v>0.52100000000000002</v>
      </c>
      <c r="G319" s="33">
        <v>0.113</v>
      </c>
      <c r="H319" s="33">
        <v>0.183</v>
      </c>
      <c r="I319" s="33">
        <v>9.9000000000000005E-2</v>
      </c>
      <c r="J319" s="33">
        <v>4.2000000000000003E-2</v>
      </c>
      <c r="K319" s="36">
        <f t="shared" si="4"/>
        <v>0.63400000000000001</v>
      </c>
    </row>
    <row r="320" spans="1:11" s="1" customFormat="1" ht="9.6" customHeight="1" x14ac:dyDescent="0.2">
      <c r="A320" s="30"/>
      <c r="B320" s="31"/>
      <c r="C320" s="38"/>
      <c r="D320" s="32"/>
      <c r="E320" s="5" t="s">
        <v>17</v>
      </c>
      <c r="F320" s="33">
        <v>0.52100000000000002</v>
      </c>
      <c r="G320" s="33">
        <v>8.5000000000000006E-2</v>
      </c>
      <c r="H320" s="33">
        <v>0.23899999999999999</v>
      </c>
      <c r="I320" s="33">
        <v>5.6000000000000001E-2</v>
      </c>
      <c r="J320" s="33">
        <v>5.6000000000000001E-2</v>
      </c>
      <c r="K320" s="36">
        <f t="shared" si="4"/>
        <v>0.60599999999999998</v>
      </c>
    </row>
    <row r="321" spans="1:11" ht="21.75" customHeight="1" x14ac:dyDescent="0.2">
      <c r="A321" s="30"/>
      <c r="B321" s="31"/>
      <c r="C321" s="38"/>
      <c r="D321" s="32"/>
      <c r="E321" s="5" t="s">
        <v>18</v>
      </c>
      <c r="F321" s="34">
        <v>0.47899999999999998</v>
      </c>
      <c r="G321" s="34">
        <v>0.127</v>
      </c>
      <c r="H321" s="34">
        <v>0.254</v>
      </c>
      <c r="I321" s="34">
        <v>0.113</v>
      </c>
      <c r="J321" s="34">
        <v>2.8000000000000001E-2</v>
      </c>
      <c r="K321" s="36">
        <f t="shared" si="4"/>
        <v>0.60599999999999998</v>
      </c>
    </row>
  </sheetData>
  <conditionalFormatting sqref="K2:K321">
    <cfRule type="cellIs" dxfId="1" priority="1" operator="equal">
      <formula>0.75</formula>
    </cfRule>
    <cfRule type="cellIs" dxfId="0" priority="2" operator="greaterThan">
      <formula>0.75</formula>
    </cfRule>
  </conditionalFormatting>
  <pageMargins left="0.7" right="0.7" top="0.75" bottom="0.75" header="0.3" footer="0.3"/>
  <ignoredErrors>
    <ignoredError sqref="C1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9ED0-C493-4BFB-BDC9-57645553F2F1}">
  <dimension ref="A1:T322"/>
  <sheetViews>
    <sheetView topLeftCell="K310" zoomScale="160" zoomScaleNormal="160" workbookViewId="0">
      <selection activeCell="Q2" sqref="Q2"/>
    </sheetView>
  </sheetViews>
  <sheetFormatPr defaultColWidth="15" defaultRowHeight="11.25" customHeight="1" x14ac:dyDescent="0.2"/>
  <cols>
    <col min="1" max="1" width="6.1640625" style="48" customWidth="1"/>
    <col min="2" max="2" width="7.33203125" style="48" customWidth="1"/>
    <col min="3" max="3" width="10.33203125" style="56" customWidth="1"/>
    <col min="4" max="5" width="25.83203125" style="68" customWidth="1"/>
    <col min="6" max="6" width="9.5" style="69" customWidth="1"/>
    <col min="7" max="7" width="9.5" style="70" customWidth="1"/>
    <col min="8" max="8" width="9.5" style="69" customWidth="1"/>
    <col min="9" max="9" width="10.5" style="70" customWidth="1"/>
    <col min="10" max="10" width="38.83203125" style="71" customWidth="1"/>
    <col min="11" max="11" width="9.83203125" style="71" customWidth="1"/>
    <col min="12" max="12" width="9.33203125" style="71" customWidth="1"/>
    <col min="13" max="13" width="8.83203125" style="71" customWidth="1"/>
    <col min="14" max="14" width="8.1640625" style="71" customWidth="1"/>
    <col min="15" max="16" width="9" style="71" customWidth="1"/>
    <col min="17" max="17" width="9" style="89" customWidth="1"/>
    <col min="18" max="16384" width="15" style="64"/>
  </cols>
  <sheetData>
    <row r="1" spans="1:20" s="48" customFormat="1" ht="11.25" customHeight="1" x14ac:dyDescent="0.15">
      <c r="A1" s="48" t="s">
        <v>105</v>
      </c>
      <c r="B1" s="48" t="s">
        <v>188</v>
      </c>
      <c r="C1" s="49" t="s">
        <v>100</v>
      </c>
      <c r="D1" s="50" t="s">
        <v>82</v>
      </c>
      <c r="E1" s="50" t="s">
        <v>189</v>
      </c>
      <c r="F1" s="51" t="s">
        <v>81</v>
      </c>
      <c r="G1" s="52" t="s">
        <v>107</v>
      </c>
      <c r="H1" s="53" t="s">
        <v>108</v>
      </c>
      <c r="I1" s="52" t="s">
        <v>80</v>
      </c>
      <c r="J1" s="54" t="s">
        <v>84</v>
      </c>
      <c r="K1" s="54" t="s">
        <v>85</v>
      </c>
      <c r="L1" s="54" t="s">
        <v>86</v>
      </c>
      <c r="M1" s="54" t="s">
        <v>87</v>
      </c>
      <c r="N1" s="54" t="s">
        <v>88</v>
      </c>
      <c r="O1" s="54" t="s">
        <v>89</v>
      </c>
      <c r="P1" s="54" t="s">
        <v>171</v>
      </c>
      <c r="Q1" s="87" t="s">
        <v>207</v>
      </c>
      <c r="R1" s="48" t="s">
        <v>106</v>
      </c>
      <c r="S1" s="48" t="s">
        <v>190</v>
      </c>
    </row>
    <row r="2" spans="1:20" ht="11.25" customHeight="1" x14ac:dyDescent="0.2">
      <c r="A2" s="48" t="str">
        <f>RIGHT(C2,4)</f>
        <v>2024</v>
      </c>
      <c r="B2" s="48" t="str">
        <f t="shared" ref="B2:B19" si="0">_xlfn.CONCAT(RIGHT(C2,2)," ",LEFT(C2,3))</f>
        <v>24 Spr</v>
      </c>
      <c r="C2" s="55" t="s">
        <v>137</v>
      </c>
      <c r="D2" s="56" t="s">
        <v>162</v>
      </c>
      <c r="E2" s="56" t="str">
        <f>_xlfn.CONCAT(D3, " ", A2)</f>
        <v>HSA 6197
Hlth Info Systems 2024</v>
      </c>
      <c r="F2" s="57" t="s">
        <v>139</v>
      </c>
      <c r="G2" s="58">
        <v>28</v>
      </c>
      <c r="H2" s="59">
        <v>7</v>
      </c>
      <c r="I2" s="60" t="s">
        <v>111</v>
      </c>
      <c r="J2" s="61" t="s">
        <v>90</v>
      </c>
      <c r="K2" s="62">
        <v>0.57099999999999995</v>
      </c>
      <c r="L2" s="62">
        <v>0</v>
      </c>
      <c r="M2" s="62">
        <v>0</v>
      </c>
      <c r="N2" s="62">
        <v>0.42899999999999999</v>
      </c>
      <c r="O2" s="62">
        <v>0</v>
      </c>
      <c r="P2" s="72">
        <f>(5*K2)+(4*L2)+(3*M2)+(2*N2)+O2</f>
        <v>3.7129999999999996</v>
      </c>
      <c r="Q2" s="88" t="str" cm="1">
        <f t="array" ref="Q2">_xlfn.IFS(P2&gt;4,"Excelent",AND(P2&gt;3,P2&lt;=4),"Very Good",AND(P2&gt;2,P2&lt;=3),"Good",AND(P2&gt;1,P2&lt;=2),"Fair")</f>
        <v>Very Good</v>
      </c>
      <c r="R2" s="63">
        <f>K2+L2</f>
        <v>0.57099999999999995</v>
      </c>
      <c r="T2" s="64" t="s">
        <v>137</v>
      </c>
    </row>
    <row r="3" spans="1:20" ht="11.25" customHeight="1" x14ac:dyDescent="0.2">
      <c r="A3" s="48" t="str">
        <f t="shared" ref="A3:A66" si="1">RIGHT(C3,4)</f>
        <v>2024</v>
      </c>
      <c r="B3" s="48" t="str">
        <f t="shared" si="0"/>
        <v>24 Spr</v>
      </c>
      <c r="C3" s="55" t="s">
        <v>137</v>
      </c>
      <c r="D3" s="56" t="s">
        <v>162</v>
      </c>
      <c r="E3" s="56" t="str">
        <f t="shared" ref="E3:E66" si="2">_xlfn.CONCAT(D4, " ", A3)</f>
        <v>HSA 6197
Hlth Info Systems 2024</v>
      </c>
      <c r="F3" s="57" t="s">
        <v>139</v>
      </c>
      <c r="G3" s="58">
        <v>28</v>
      </c>
      <c r="H3" s="59">
        <v>7</v>
      </c>
      <c r="I3" s="60" t="s">
        <v>111</v>
      </c>
      <c r="J3" s="61" t="s">
        <v>91</v>
      </c>
      <c r="K3" s="62">
        <v>0.57099999999999995</v>
      </c>
      <c r="L3" s="62">
        <v>0</v>
      </c>
      <c r="M3" s="62">
        <v>0</v>
      </c>
      <c r="N3" s="62">
        <v>0.42899999999999999</v>
      </c>
      <c r="O3" s="62">
        <v>0</v>
      </c>
      <c r="P3" s="72">
        <f t="shared" ref="P3:P66" si="3">(5*K3)+(4*L3)+(3*M3)+(2*N3)+O3</f>
        <v>3.7129999999999996</v>
      </c>
      <c r="Q3" s="88" t="str" cm="1">
        <f t="array" ref="Q3">_xlfn.IFS(P3&gt;4,"Excelent",AND(P3&gt;3,P3&lt;=4),"Very Good",AND(P3&gt;2,P3&lt;=3),"Good",AND(P3&gt;1,P3&lt;=2),"Fair")</f>
        <v>Very Good</v>
      </c>
      <c r="R3" s="63">
        <f t="shared" ref="R3:R66" si="4">K3+L3</f>
        <v>0.57099999999999995</v>
      </c>
    </row>
    <row r="4" spans="1:20" ht="11.25" customHeight="1" x14ac:dyDescent="0.2">
      <c r="A4" s="48" t="str">
        <f t="shared" si="1"/>
        <v>2024</v>
      </c>
      <c r="B4" s="48" t="str">
        <f t="shared" si="0"/>
        <v>24 Spr</v>
      </c>
      <c r="C4" s="55" t="s">
        <v>137</v>
      </c>
      <c r="D4" s="56" t="s">
        <v>162</v>
      </c>
      <c r="E4" s="56" t="str">
        <f t="shared" si="2"/>
        <v>HSA 6197
Hlth Info Systems 2024</v>
      </c>
      <c r="F4" s="57" t="s">
        <v>139</v>
      </c>
      <c r="G4" s="58">
        <v>28</v>
      </c>
      <c r="H4" s="59">
        <v>7</v>
      </c>
      <c r="I4" s="60" t="s">
        <v>111</v>
      </c>
      <c r="J4" s="61" t="s">
        <v>92</v>
      </c>
      <c r="K4" s="62">
        <v>0.42899999999999999</v>
      </c>
      <c r="L4" s="62">
        <v>0.14299999999999999</v>
      </c>
      <c r="M4" s="62">
        <v>0</v>
      </c>
      <c r="N4" s="62">
        <v>0.42899999999999999</v>
      </c>
      <c r="O4" s="62">
        <v>0</v>
      </c>
      <c r="P4" s="72">
        <f t="shared" si="3"/>
        <v>3.5750000000000002</v>
      </c>
      <c r="Q4" s="88" t="str" cm="1">
        <f t="array" ref="Q4">_xlfn.IFS(P4&gt;4,"Excelent",AND(P4&gt;3,P4&lt;=4),"Very Good",AND(P4&gt;2,P4&lt;=3),"Good",AND(P4&gt;1,P4&lt;=2),"Fair")</f>
        <v>Very Good</v>
      </c>
      <c r="R4" s="63">
        <f t="shared" si="4"/>
        <v>0.57199999999999995</v>
      </c>
    </row>
    <row r="5" spans="1:20" ht="11.25" customHeight="1" x14ac:dyDescent="0.2">
      <c r="A5" s="48" t="str">
        <f t="shared" si="1"/>
        <v>2024</v>
      </c>
      <c r="B5" s="48" t="str">
        <f t="shared" si="0"/>
        <v>24 Spr</v>
      </c>
      <c r="C5" s="55" t="s">
        <v>137</v>
      </c>
      <c r="D5" s="56" t="s">
        <v>162</v>
      </c>
      <c r="E5" s="56" t="str">
        <f t="shared" si="2"/>
        <v>HSA 6197
Hlth Info Systems 2024</v>
      </c>
      <c r="F5" s="57" t="s">
        <v>139</v>
      </c>
      <c r="G5" s="58">
        <v>28</v>
      </c>
      <c r="H5" s="59">
        <v>7</v>
      </c>
      <c r="I5" s="60" t="s">
        <v>111</v>
      </c>
      <c r="J5" s="61" t="s">
        <v>93</v>
      </c>
      <c r="K5" s="62">
        <v>0.57099999999999995</v>
      </c>
      <c r="L5" s="62">
        <v>0</v>
      </c>
      <c r="M5" s="62">
        <v>0.14299999999999999</v>
      </c>
      <c r="N5" s="62">
        <v>0.28599999999999998</v>
      </c>
      <c r="O5" s="62">
        <v>0</v>
      </c>
      <c r="P5" s="72">
        <f t="shared" si="3"/>
        <v>3.8559999999999994</v>
      </c>
      <c r="Q5" s="88" t="str" cm="1">
        <f t="array" ref="Q5">_xlfn.IFS(P5&gt;4,"Excelent",AND(P5&gt;3,P5&lt;=4),"Very Good",AND(P5&gt;2,P5&lt;=3),"Good",AND(P5&gt;1,P5&lt;=2),"Fair")</f>
        <v>Very Good</v>
      </c>
      <c r="R5" s="63">
        <f t="shared" si="4"/>
        <v>0.57099999999999995</v>
      </c>
    </row>
    <row r="6" spans="1:20" ht="11.25" customHeight="1" x14ac:dyDescent="0.2">
      <c r="A6" s="48" t="str">
        <f t="shared" si="1"/>
        <v>2024</v>
      </c>
      <c r="B6" s="48" t="str">
        <f t="shared" si="0"/>
        <v>24 Spr</v>
      </c>
      <c r="C6" s="55" t="s">
        <v>137</v>
      </c>
      <c r="D6" s="56" t="s">
        <v>162</v>
      </c>
      <c r="E6" s="56" t="str">
        <f t="shared" si="2"/>
        <v>HSA 6197
Hlth Info Systems 2024</v>
      </c>
      <c r="F6" s="57" t="s">
        <v>139</v>
      </c>
      <c r="G6" s="58">
        <v>28</v>
      </c>
      <c r="H6" s="59">
        <v>7</v>
      </c>
      <c r="I6" s="60" t="s">
        <v>111</v>
      </c>
      <c r="J6" s="61" t="s">
        <v>94</v>
      </c>
      <c r="K6" s="62">
        <v>0.42899999999999999</v>
      </c>
      <c r="L6" s="62">
        <v>0.14299999999999999</v>
      </c>
      <c r="M6" s="62">
        <v>0</v>
      </c>
      <c r="N6" s="62">
        <v>0.42899999999999999</v>
      </c>
      <c r="O6" s="62">
        <v>0</v>
      </c>
      <c r="P6" s="72">
        <f t="shared" si="3"/>
        <v>3.5750000000000002</v>
      </c>
      <c r="Q6" s="88" t="str" cm="1">
        <f t="array" ref="Q6">_xlfn.IFS(P6&gt;4,"Excelent",AND(P6&gt;3,P6&lt;=4),"Very Good",AND(P6&gt;2,P6&lt;=3),"Good",AND(P6&gt;1,P6&lt;=2),"Fair")</f>
        <v>Very Good</v>
      </c>
      <c r="R6" s="63">
        <f t="shared" si="4"/>
        <v>0.57199999999999995</v>
      </c>
    </row>
    <row r="7" spans="1:20" ht="11.25" customHeight="1" x14ac:dyDescent="0.2">
      <c r="A7" s="48" t="str">
        <f t="shared" si="1"/>
        <v>2024</v>
      </c>
      <c r="B7" s="48" t="str">
        <f t="shared" si="0"/>
        <v>24 Spr</v>
      </c>
      <c r="C7" s="55" t="s">
        <v>137</v>
      </c>
      <c r="D7" s="56" t="s">
        <v>162</v>
      </c>
      <c r="E7" s="56" t="str">
        <f t="shared" si="2"/>
        <v>HSA 6197
Hlth Info Systems 2024</v>
      </c>
      <c r="F7" s="57" t="s">
        <v>139</v>
      </c>
      <c r="G7" s="58">
        <v>28</v>
      </c>
      <c r="H7" s="59">
        <v>7</v>
      </c>
      <c r="I7" s="60" t="s">
        <v>111</v>
      </c>
      <c r="J7" s="61" t="s">
        <v>95</v>
      </c>
      <c r="K7" s="62">
        <v>0.42899999999999999</v>
      </c>
      <c r="L7" s="62">
        <v>0.14299999999999999</v>
      </c>
      <c r="M7" s="62">
        <v>0.28599999999999998</v>
      </c>
      <c r="N7" s="62">
        <v>0.14299999999999999</v>
      </c>
      <c r="O7" s="62">
        <v>0</v>
      </c>
      <c r="P7" s="72">
        <f t="shared" si="3"/>
        <v>3.8610000000000002</v>
      </c>
      <c r="Q7" s="88" t="str" cm="1">
        <f t="array" ref="Q7">_xlfn.IFS(P7&gt;4,"Excelent",AND(P7&gt;3,P7&lt;=4),"Very Good",AND(P7&gt;2,P7&lt;=3),"Good",AND(P7&gt;1,P7&lt;=2),"Fair")</f>
        <v>Very Good</v>
      </c>
      <c r="R7" s="63">
        <f t="shared" si="4"/>
        <v>0.57199999999999995</v>
      </c>
    </row>
    <row r="8" spans="1:20" ht="11.25" customHeight="1" x14ac:dyDescent="0.2">
      <c r="A8" s="48" t="str">
        <f t="shared" si="1"/>
        <v>2024</v>
      </c>
      <c r="B8" s="48" t="str">
        <f t="shared" si="0"/>
        <v>24 Spr</v>
      </c>
      <c r="C8" s="55" t="s">
        <v>137</v>
      </c>
      <c r="D8" s="56" t="s">
        <v>162</v>
      </c>
      <c r="E8" s="56" t="str">
        <f t="shared" si="2"/>
        <v>HSA 6197
Hlth Info Systems 2024</v>
      </c>
      <c r="F8" s="57" t="s">
        <v>139</v>
      </c>
      <c r="G8" s="58">
        <v>28</v>
      </c>
      <c r="H8" s="59">
        <v>7</v>
      </c>
      <c r="I8" s="60" t="s">
        <v>111</v>
      </c>
      <c r="J8" s="61" t="s">
        <v>96</v>
      </c>
      <c r="K8" s="62">
        <v>0.42899999999999999</v>
      </c>
      <c r="L8" s="62">
        <v>0.14299999999999999</v>
      </c>
      <c r="M8" s="62">
        <v>0.42899999999999999</v>
      </c>
      <c r="N8" s="62">
        <v>0</v>
      </c>
      <c r="O8" s="62">
        <v>0</v>
      </c>
      <c r="P8" s="72">
        <f t="shared" si="3"/>
        <v>4.0039999999999996</v>
      </c>
      <c r="Q8" s="88" t="str" cm="1">
        <f t="array" ref="Q8">_xlfn.IFS(P8&gt;4,"Excelent",AND(P8&gt;3,P8&lt;=4),"Very Good",AND(P8&gt;2,P8&lt;=3),"Good",AND(P8&gt;1,P8&lt;=2),"Fair")</f>
        <v>Excelent</v>
      </c>
      <c r="R8" s="63">
        <f t="shared" si="4"/>
        <v>0.57199999999999995</v>
      </c>
    </row>
    <row r="9" spans="1:20" ht="11.25" customHeight="1" x14ac:dyDescent="0.2">
      <c r="A9" s="48" t="str">
        <f t="shared" si="1"/>
        <v>2024</v>
      </c>
      <c r="B9" s="48" t="str">
        <f t="shared" si="0"/>
        <v>24 Spr</v>
      </c>
      <c r="C9" s="55" t="s">
        <v>137</v>
      </c>
      <c r="D9" s="56" t="s">
        <v>162</v>
      </c>
      <c r="E9" s="56" t="str">
        <f t="shared" si="2"/>
        <v>HSA 6717
Adv Hlth Mgt Res Sem 2024</v>
      </c>
      <c r="F9" s="57" t="s">
        <v>139</v>
      </c>
      <c r="G9" s="58">
        <v>28</v>
      </c>
      <c r="H9" s="59">
        <v>7</v>
      </c>
      <c r="I9" s="60" t="s">
        <v>111</v>
      </c>
      <c r="J9" s="61" t="s">
        <v>97</v>
      </c>
      <c r="K9" s="65">
        <v>0.42899999999999999</v>
      </c>
      <c r="L9" s="65">
        <v>0.14299999999999999</v>
      </c>
      <c r="M9" s="65">
        <v>0</v>
      </c>
      <c r="N9" s="65">
        <v>0.42899999999999999</v>
      </c>
      <c r="O9" s="65">
        <v>0</v>
      </c>
      <c r="P9" s="72">
        <f t="shared" si="3"/>
        <v>3.5750000000000002</v>
      </c>
      <c r="Q9" s="88" t="str" cm="1">
        <f t="array" ref="Q9">_xlfn.IFS(P9&gt;4,"Excelent",AND(P9&gt;3,P9&lt;=4),"Very Good",AND(P9&gt;2,P9&lt;=3),"Good",AND(P9&gt;1,P9&lt;=2),"Fair")</f>
        <v>Very Good</v>
      </c>
      <c r="R9" s="63">
        <f t="shared" si="4"/>
        <v>0.57199999999999995</v>
      </c>
    </row>
    <row r="10" spans="1:20" ht="11.25" customHeight="1" x14ac:dyDescent="0.2">
      <c r="A10" s="48" t="str">
        <f t="shared" si="1"/>
        <v>2024</v>
      </c>
      <c r="B10" s="48" t="str">
        <f t="shared" si="0"/>
        <v>24 Spr</v>
      </c>
      <c r="C10" s="55" t="s">
        <v>137</v>
      </c>
      <c r="D10" s="56" t="s">
        <v>163</v>
      </c>
      <c r="E10" s="56" t="str">
        <f t="shared" si="2"/>
        <v>HSA 6717
Adv Hlth Mgt Res Sem 2024</v>
      </c>
      <c r="F10" s="57" t="s">
        <v>138</v>
      </c>
      <c r="G10" s="58">
        <v>41</v>
      </c>
      <c r="H10" s="59">
        <v>5</v>
      </c>
      <c r="I10" s="60" t="s">
        <v>111</v>
      </c>
      <c r="J10" s="61" t="s">
        <v>90</v>
      </c>
      <c r="K10" s="62">
        <v>0.4</v>
      </c>
      <c r="L10" s="62">
        <v>0</v>
      </c>
      <c r="M10" s="62">
        <v>0.2</v>
      </c>
      <c r="N10" s="62">
        <v>0</v>
      </c>
      <c r="O10" s="62">
        <v>0.2</v>
      </c>
      <c r="P10" s="72">
        <f t="shared" si="3"/>
        <v>2.8000000000000003</v>
      </c>
      <c r="Q10" s="88" t="str" cm="1">
        <f t="array" ref="Q10">_xlfn.IFS(P10&gt;4,"Excelent",AND(P10&gt;3,P10&lt;=4),"Very Good",AND(P10&gt;2,P10&lt;=3),"Good",AND(P10&gt;1,P10&lt;=2),"Fair")</f>
        <v>Good</v>
      </c>
      <c r="R10" s="63">
        <f t="shared" si="4"/>
        <v>0.4</v>
      </c>
    </row>
    <row r="11" spans="1:20" ht="11.25" customHeight="1" x14ac:dyDescent="0.2">
      <c r="A11" s="48" t="str">
        <f t="shared" si="1"/>
        <v>2024</v>
      </c>
      <c r="B11" s="48" t="str">
        <f t="shared" si="0"/>
        <v>24 Spr</v>
      </c>
      <c r="C11" s="55" t="s">
        <v>137</v>
      </c>
      <c r="D11" s="56" t="s">
        <v>163</v>
      </c>
      <c r="E11" s="56" t="str">
        <f t="shared" si="2"/>
        <v>HSA 6717
Adv Hlth Mgt Res Sem 2024</v>
      </c>
      <c r="F11" s="57" t="s">
        <v>138</v>
      </c>
      <c r="G11" s="58">
        <v>41</v>
      </c>
      <c r="H11" s="59">
        <v>5</v>
      </c>
      <c r="I11" s="60" t="s">
        <v>111</v>
      </c>
      <c r="J11" s="61" t="s">
        <v>91</v>
      </c>
      <c r="K11" s="62">
        <v>0.4</v>
      </c>
      <c r="L11" s="62">
        <v>0</v>
      </c>
      <c r="M11" s="62">
        <v>0.2</v>
      </c>
      <c r="N11" s="62">
        <v>0.2</v>
      </c>
      <c r="O11" s="62">
        <v>0</v>
      </c>
      <c r="P11" s="72">
        <f t="shared" si="3"/>
        <v>3</v>
      </c>
      <c r="Q11" s="88" t="str" cm="1">
        <f t="array" ref="Q11">_xlfn.IFS(P11&gt;4,"Excelent",AND(P11&gt;3,P11&lt;=4),"Very Good",AND(P11&gt;2,P11&lt;=3),"Good",AND(P11&gt;1,P11&lt;=2),"Fair")</f>
        <v>Good</v>
      </c>
      <c r="R11" s="63">
        <f t="shared" si="4"/>
        <v>0.4</v>
      </c>
    </row>
    <row r="12" spans="1:20" ht="11.25" customHeight="1" x14ac:dyDescent="0.2">
      <c r="A12" s="48" t="str">
        <f t="shared" si="1"/>
        <v>2024</v>
      </c>
      <c r="B12" s="48" t="str">
        <f t="shared" si="0"/>
        <v>24 Spr</v>
      </c>
      <c r="C12" s="55" t="s">
        <v>137</v>
      </c>
      <c r="D12" s="56" t="s">
        <v>163</v>
      </c>
      <c r="E12" s="56" t="str">
        <f t="shared" si="2"/>
        <v>HSA 6717
Adv Hlth Mgt Res Sem 2024</v>
      </c>
      <c r="F12" s="57" t="s">
        <v>138</v>
      </c>
      <c r="G12" s="58">
        <v>41</v>
      </c>
      <c r="H12" s="59">
        <v>5</v>
      </c>
      <c r="I12" s="60" t="s">
        <v>111</v>
      </c>
      <c r="J12" s="61" t="s">
        <v>92</v>
      </c>
      <c r="K12" s="62">
        <v>0.4</v>
      </c>
      <c r="L12" s="62">
        <v>0</v>
      </c>
      <c r="M12" s="62">
        <v>0</v>
      </c>
      <c r="N12" s="62">
        <v>0.2</v>
      </c>
      <c r="O12" s="62">
        <v>0.2</v>
      </c>
      <c r="P12" s="72">
        <f t="shared" si="3"/>
        <v>2.6</v>
      </c>
      <c r="Q12" s="88" t="str" cm="1">
        <f t="array" ref="Q12">_xlfn.IFS(P12&gt;4,"Excelent",AND(P12&gt;3,P12&lt;=4),"Very Good",AND(P12&gt;2,P12&lt;=3),"Good",AND(P12&gt;1,P12&lt;=2),"Fair")</f>
        <v>Good</v>
      </c>
      <c r="R12" s="63">
        <f t="shared" si="4"/>
        <v>0.4</v>
      </c>
    </row>
    <row r="13" spans="1:20" ht="11.25" customHeight="1" x14ac:dyDescent="0.2">
      <c r="A13" s="48" t="str">
        <f t="shared" si="1"/>
        <v>2024</v>
      </c>
      <c r="B13" s="48" t="str">
        <f t="shared" si="0"/>
        <v>24 Spr</v>
      </c>
      <c r="C13" s="55" t="s">
        <v>137</v>
      </c>
      <c r="D13" s="56" t="s">
        <v>163</v>
      </c>
      <c r="E13" s="56" t="str">
        <f t="shared" si="2"/>
        <v>HSA 6717
Adv Hlth Mgt Res Sem 2024</v>
      </c>
      <c r="F13" s="57" t="s">
        <v>138</v>
      </c>
      <c r="G13" s="58">
        <v>41</v>
      </c>
      <c r="H13" s="59">
        <v>5</v>
      </c>
      <c r="I13" s="60" t="s">
        <v>111</v>
      </c>
      <c r="J13" s="61" t="s">
        <v>93</v>
      </c>
      <c r="K13" s="62">
        <v>0.6</v>
      </c>
      <c r="L13" s="62">
        <v>0</v>
      </c>
      <c r="M13" s="62">
        <v>0</v>
      </c>
      <c r="N13" s="62">
        <v>0</v>
      </c>
      <c r="O13" s="62">
        <v>0.2</v>
      </c>
      <c r="P13" s="72">
        <f t="shared" si="3"/>
        <v>3.2</v>
      </c>
      <c r="Q13" s="88" t="str" cm="1">
        <f t="array" ref="Q13">_xlfn.IFS(P13&gt;4,"Excelent",AND(P13&gt;3,P13&lt;=4),"Very Good",AND(P13&gt;2,P13&lt;=3),"Good",AND(P13&gt;1,P13&lt;=2),"Fair")</f>
        <v>Very Good</v>
      </c>
      <c r="R13" s="63">
        <f t="shared" si="4"/>
        <v>0.6</v>
      </c>
    </row>
    <row r="14" spans="1:20" ht="11.25" customHeight="1" x14ac:dyDescent="0.2">
      <c r="A14" s="48" t="str">
        <f t="shared" si="1"/>
        <v>2024</v>
      </c>
      <c r="B14" s="48" t="str">
        <f t="shared" si="0"/>
        <v>24 Spr</v>
      </c>
      <c r="C14" s="55" t="s">
        <v>137</v>
      </c>
      <c r="D14" s="56" t="s">
        <v>163</v>
      </c>
      <c r="E14" s="56" t="str">
        <f t="shared" si="2"/>
        <v>HSA 6717
Adv Hlth Mgt Res Sem 2024</v>
      </c>
      <c r="F14" s="57" t="s">
        <v>138</v>
      </c>
      <c r="G14" s="58">
        <v>41</v>
      </c>
      <c r="H14" s="59">
        <v>5</v>
      </c>
      <c r="I14" s="60" t="s">
        <v>111</v>
      </c>
      <c r="J14" s="61" t="s">
        <v>94</v>
      </c>
      <c r="K14" s="62">
        <v>0.6</v>
      </c>
      <c r="L14" s="62">
        <v>0</v>
      </c>
      <c r="M14" s="62">
        <v>0</v>
      </c>
      <c r="N14" s="62">
        <v>0.2</v>
      </c>
      <c r="O14" s="62">
        <v>0</v>
      </c>
      <c r="P14" s="72">
        <f t="shared" si="3"/>
        <v>3.4</v>
      </c>
      <c r="Q14" s="88" t="str" cm="1">
        <f t="array" ref="Q14">_xlfn.IFS(P14&gt;4,"Excelent",AND(P14&gt;3,P14&lt;=4),"Very Good",AND(P14&gt;2,P14&lt;=3),"Good",AND(P14&gt;1,P14&lt;=2),"Fair")</f>
        <v>Very Good</v>
      </c>
      <c r="R14" s="63">
        <f t="shared" si="4"/>
        <v>0.6</v>
      </c>
    </row>
    <row r="15" spans="1:20" ht="11.25" customHeight="1" x14ac:dyDescent="0.2">
      <c r="A15" s="48" t="str">
        <f t="shared" si="1"/>
        <v>2024</v>
      </c>
      <c r="B15" s="48" t="str">
        <f t="shared" si="0"/>
        <v>24 Spr</v>
      </c>
      <c r="C15" s="55" t="s">
        <v>137</v>
      </c>
      <c r="D15" s="56" t="s">
        <v>163</v>
      </c>
      <c r="E15" s="56" t="str">
        <f t="shared" si="2"/>
        <v>HSA 6717
Adv Hlth Mgt Res Sem 2024</v>
      </c>
      <c r="F15" s="57" t="s">
        <v>138</v>
      </c>
      <c r="G15" s="58">
        <v>41</v>
      </c>
      <c r="H15" s="59">
        <v>5</v>
      </c>
      <c r="I15" s="60" t="s">
        <v>111</v>
      </c>
      <c r="J15" s="61" t="s">
        <v>95</v>
      </c>
      <c r="K15" s="62">
        <v>0.6</v>
      </c>
      <c r="L15" s="62">
        <v>0.2</v>
      </c>
      <c r="M15" s="62">
        <v>0</v>
      </c>
      <c r="N15" s="62">
        <v>0</v>
      </c>
      <c r="O15" s="62">
        <v>0</v>
      </c>
      <c r="P15" s="72">
        <f t="shared" si="3"/>
        <v>3.8</v>
      </c>
      <c r="Q15" s="88" t="str" cm="1">
        <f t="array" ref="Q15">_xlfn.IFS(P15&gt;4,"Excelent",AND(P15&gt;3,P15&lt;=4),"Very Good",AND(P15&gt;2,P15&lt;=3),"Good",AND(P15&gt;1,P15&lt;=2),"Fair")</f>
        <v>Very Good</v>
      </c>
      <c r="R15" s="63">
        <f t="shared" si="4"/>
        <v>0.8</v>
      </c>
    </row>
    <row r="16" spans="1:20" ht="11.25" customHeight="1" x14ac:dyDescent="0.2">
      <c r="A16" s="48" t="str">
        <f t="shared" si="1"/>
        <v>2024</v>
      </c>
      <c r="B16" s="48" t="str">
        <f t="shared" si="0"/>
        <v>24 Spr</v>
      </c>
      <c r="C16" s="55" t="s">
        <v>137</v>
      </c>
      <c r="D16" s="56" t="s">
        <v>163</v>
      </c>
      <c r="E16" s="56" t="str">
        <f t="shared" si="2"/>
        <v>HSA 6717
Adv Hlth Mgt Res Sem 2024</v>
      </c>
      <c r="F16" s="57" t="s">
        <v>138</v>
      </c>
      <c r="G16" s="58">
        <v>41</v>
      </c>
      <c r="H16" s="59">
        <v>5</v>
      </c>
      <c r="I16" s="60" t="s">
        <v>111</v>
      </c>
      <c r="J16" s="61" t="s">
        <v>96</v>
      </c>
      <c r="K16" s="62">
        <v>0.6</v>
      </c>
      <c r="L16" s="62">
        <v>0.2</v>
      </c>
      <c r="M16" s="62">
        <v>0</v>
      </c>
      <c r="N16" s="62">
        <v>0</v>
      </c>
      <c r="O16" s="62">
        <v>0</v>
      </c>
      <c r="P16" s="72">
        <f t="shared" si="3"/>
        <v>3.8</v>
      </c>
      <c r="Q16" s="88" t="str" cm="1">
        <f t="array" ref="Q16">_xlfn.IFS(P16&gt;4,"Excelent",AND(P16&gt;3,P16&lt;=4),"Very Good",AND(P16&gt;2,P16&lt;=3),"Good",AND(P16&gt;1,P16&lt;=2),"Fair")</f>
        <v>Very Good</v>
      </c>
      <c r="R16" s="63">
        <f t="shared" si="4"/>
        <v>0.8</v>
      </c>
    </row>
    <row r="17" spans="1:19" ht="11.25" customHeight="1" x14ac:dyDescent="0.2">
      <c r="A17" s="48" t="str">
        <f t="shared" si="1"/>
        <v>2024</v>
      </c>
      <c r="B17" s="48" t="str">
        <f t="shared" si="0"/>
        <v>24 Spr</v>
      </c>
      <c r="C17" s="55" t="s">
        <v>137</v>
      </c>
      <c r="D17" s="56" t="s">
        <v>163</v>
      </c>
      <c r="E17" s="56" t="str">
        <f t="shared" si="2"/>
        <v>HSA 6930
Pro Seminar Hlth Mgt 2024</v>
      </c>
      <c r="F17" s="57" t="s">
        <v>138</v>
      </c>
      <c r="G17" s="58">
        <v>41</v>
      </c>
      <c r="H17" s="59">
        <v>5</v>
      </c>
      <c r="I17" s="60" t="s">
        <v>111</v>
      </c>
      <c r="J17" s="61" t="s">
        <v>97</v>
      </c>
      <c r="K17" s="65">
        <v>0.4</v>
      </c>
      <c r="L17" s="65">
        <v>0</v>
      </c>
      <c r="M17" s="65">
        <v>0.2</v>
      </c>
      <c r="N17" s="65">
        <v>0.4</v>
      </c>
      <c r="O17" s="65">
        <v>0</v>
      </c>
      <c r="P17" s="72">
        <f t="shared" si="3"/>
        <v>3.4000000000000004</v>
      </c>
      <c r="Q17" s="88" t="str" cm="1">
        <f t="array" ref="Q17">_xlfn.IFS(P17&gt;4,"Excelent",AND(P17&gt;3,P17&lt;=4),"Very Good",AND(P17&gt;2,P17&lt;=3),"Good",AND(P17&gt;1,P17&lt;=2),"Fair")</f>
        <v>Very Good</v>
      </c>
      <c r="R17" s="63">
        <f t="shared" si="4"/>
        <v>0.4</v>
      </c>
    </row>
    <row r="18" spans="1:19" ht="11.25" customHeight="1" x14ac:dyDescent="0.2">
      <c r="A18" s="48" t="str">
        <f t="shared" si="1"/>
        <v>2024</v>
      </c>
      <c r="B18" s="48" t="str">
        <f t="shared" si="0"/>
        <v>24 Spr</v>
      </c>
      <c r="C18" s="55" t="s">
        <v>137</v>
      </c>
      <c r="D18" s="56" t="s">
        <v>164</v>
      </c>
      <c r="E18" s="56" t="str">
        <f t="shared" si="2"/>
        <v>HSA 6930
Pro Seminar Hlth Mgt 2024</v>
      </c>
      <c r="F18" s="57" t="s">
        <v>140</v>
      </c>
      <c r="G18" s="58">
        <v>41</v>
      </c>
      <c r="H18" s="59">
        <v>6</v>
      </c>
      <c r="I18" s="60" t="s">
        <v>111</v>
      </c>
      <c r="J18" s="61" t="s">
        <v>90</v>
      </c>
      <c r="K18" s="62">
        <v>0.5</v>
      </c>
      <c r="L18" s="62">
        <v>0</v>
      </c>
      <c r="M18" s="62">
        <v>0.16700000000000001</v>
      </c>
      <c r="N18" s="62">
        <v>0.16700000000000001</v>
      </c>
      <c r="O18" s="62">
        <v>0</v>
      </c>
      <c r="P18" s="72">
        <f t="shared" si="3"/>
        <v>3.335</v>
      </c>
      <c r="Q18" s="88" t="str" cm="1">
        <f t="array" ref="Q18">_xlfn.IFS(P18&gt;4,"Excelent",AND(P18&gt;3,P18&lt;=4),"Very Good",AND(P18&gt;2,P18&lt;=3),"Good",AND(P18&gt;1,P18&lt;=2),"Fair")</f>
        <v>Very Good</v>
      </c>
      <c r="R18" s="63">
        <f t="shared" si="4"/>
        <v>0.5</v>
      </c>
    </row>
    <row r="19" spans="1:19" ht="11.25" customHeight="1" x14ac:dyDescent="0.2">
      <c r="A19" s="48" t="str">
        <f t="shared" si="1"/>
        <v>2024</v>
      </c>
      <c r="B19" s="48" t="str">
        <f t="shared" si="0"/>
        <v>24 Spr</v>
      </c>
      <c r="C19" s="55" t="s">
        <v>137</v>
      </c>
      <c r="D19" s="56" t="s">
        <v>164</v>
      </c>
      <c r="E19" s="56" t="str">
        <f t="shared" si="2"/>
        <v>HSA 6930
Pro Seminar Hlth Mgt 2024</v>
      </c>
      <c r="F19" s="57" t="s">
        <v>140</v>
      </c>
      <c r="G19" s="58">
        <v>41</v>
      </c>
      <c r="H19" s="59">
        <v>6</v>
      </c>
      <c r="I19" s="60" t="s">
        <v>111</v>
      </c>
      <c r="J19" s="61" t="s">
        <v>91</v>
      </c>
      <c r="K19" s="62">
        <v>0.5</v>
      </c>
      <c r="L19" s="62">
        <v>0.16700000000000001</v>
      </c>
      <c r="M19" s="62">
        <v>0</v>
      </c>
      <c r="N19" s="62">
        <v>0.16700000000000001</v>
      </c>
      <c r="O19" s="62">
        <v>0</v>
      </c>
      <c r="P19" s="72">
        <f t="shared" si="3"/>
        <v>3.5020000000000002</v>
      </c>
      <c r="Q19" s="88" t="str" cm="1">
        <f t="array" ref="Q19">_xlfn.IFS(P19&gt;4,"Excelent",AND(P19&gt;3,P19&lt;=4),"Very Good",AND(P19&gt;2,P19&lt;=3),"Good",AND(P19&gt;1,P19&lt;=2),"Fair")</f>
        <v>Very Good</v>
      </c>
      <c r="R19" s="63">
        <f t="shared" si="4"/>
        <v>0.66700000000000004</v>
      </c>
    </row>
    <row r="20" spans="1:19" ht="11.25" customHeight="1" x14ac:dyDescent="0.2">
      <c r="A20" s="48" t="str">
        <f t="shared" si="1"/>
        <v>2024</v>
      </c>
      <c r="B20" s="48" t="str">
        <f>_xlfn.CONCAT(RIGHT(C20,2)," ",LEFT(C20,3))</f>
        <v>24 Spr</v>
      </c>
      <c r="C20" s="55" t="s">
        <v>137</v>
      </c>
      <c r="D20" s="56" t="s">
        <v>164</v>
      </c>
      <c r="E20" s="56" t="str">
        <f t="shared" si="2"/>
        <v>HSA 6930
Pro Seminar Hlth Mgt 2024</v>
      </c>
      <c r="F20" s="57" t="s">
        <v>140</v>
      </c>
      <c r="G20" s="58">
        <v>41</v>
      </c>
      <c r="H20" s="59">
        <v>6</v>
      </c>
      <c r="I20" s="60" t="s">
        <v>111</v>
      </c>
      <c r="J20" s="61" t="s">
        <v>92</v>
      </c>
      <c r="K20" s="62">
        <v>0.5</v>
      </c>
      <c r="L20" s="62">
        <v>0</v>
      </c>
      <c r="M20" s="62">
        <v>0</v>
      </c>
      <c r="N20" s="62">
        <v>0.33300000000000002</v>
      </c>
      <c r="O20" s="62">
        <v>0</v>
      </c>
      <c r="P20" s="72">
        <f t="shared" si="3"/>
        <v>3.1659999999999999</v>
      </c>
      <c r="Q20" s="88" t="str" cm="1">
        <f t="array" ref="Q20">_xlfn.IFS(P20&gt;4,"Excelent",AND(P20&gt;3,P20&lt;=4),"Very Good",AND(P20&gt;2,P20&lt;=3),"Good",AND(P20&gt;1,P20&lt;=2),"Fair")</f>
        <v>Very Good</v>
      </c>
      <c r="R20" s="63">
        <f t="shared" si="4"/>
        <v>0.5</v>
      </c>
    </row>
    <row r="21" spans="1:19" ht="11.25" customHeight="1" x14ac:dyDescent="0.2">
      <c r="A21" s="48" t="str">
        <f t="shared" si="1"/>
        <v>2024</v>
      </c>
      <c r="B21" s="48" t="str">
        <f t="shared" ref="B21:B84" si="5">_xlfn.CONCAT(RIGHT(C21,2)," ",LEFT(C21,3))</f>
        <v>24 Spr</v>
      </c>
      <c r="C21" s="55" t="s">
        <v>137</v>
      </c>
      <c r="D21" s="56" t="s">
        <v>164</v>
      </c>
      <c r="E21" s="56" t="str">
        <f t="shared" si="2"/>
        <v>HSA 6930
Pro Seminar Hlth Mgt 2024</v>
      </c>
      <c r="F21" s="57" t="s">
        <v>140</v>
      </c>
      <c r="G21" s="58">
        <v>41</v>
      </c>
      <c r="H21" s="59">
        <v>6</v>
      </c>
      <c r="I21" s="60" t="s">
        <v>111</v>
      </c>
      <c r="J21" s="61" t="s">
        <v>93</v>
      </c>
      <c r="K21" s="62">
        <v>0.5</v>
      </c>
      <c r="L21" s="62">
        <v>0</v>
      </c>
      <c r="M21" s="62">
        <v>0</v>
      </c>
      <c r="N21" s="62">
        <v>0.33300000000000002</v>
      </c>
      <c r="O21" s="62">
        <v>0</v>
      </c>
      <c r="P21" s="72">
        <f t="shared" si="3"/>
        <v>3.1659999999999999</v>
      </c>
      <c r="Q21" s="88" t="str" cm="1">
        <f t="array" ref="Q21">_xlfn.IFS(P21&gt;4,"Excelent",AND(P21&gt;3,P21&lt;=4),"Very Good",AND(P21&gt;2,P21&lt;=3),"Good",AND(P21&gt;1,P21&lt;=2),"Fair")</f>
        <v>Very Good</v>
      </c>
      <c r="R21" s="63">
        <f t="shared" si="4"/>
        <v>0.5</v>
      </c>
    </row>
    <row r="22" spans="1:19" ht="11.25" customHeight="1" x14ac:dyDescent="0.2">
      <c r="A22" s="48" t="str">
        <f t="shared" si="1"/>
        <v>2024</v>
      </c>
      <c r="B22" s="48" t="str">
        <f t="shared" si="5"/>
        <v>24 Spr</v>
      </c>
      <c r="C22" s="55" t="s">
        <v>137</v>
      </c>
      <c r="D22" s="56" t="s">
        <v>164</v>
      </c>
      <c r="E22" s="56" t="str">
        <f t="shared" si="2"/>
        <v>HSA 6930
Pro Seminar Hlth Mgt 2024</v>
      </c>
      <c r="F22" s="57" t="s">
        <v>140</v>
      </c>
      <c r="G22" s="58">
        <v>41</v>
      </c>
      <c r="H22" s="59">
        <v>6</v>
      </c>
      <c r="I22" s="60" t="s">
        <v>111</v>
      </c>
      <c r="J22" s="61" t="s">
        <v>94</v>
      </c>
      <c r="K22" s="62">
        <v>0.5</v>
      </c>
      <c r="L22" s="62">
        <v>0.16700000000000001</v>
      </c>
      <c r="M22" s="62">
        <v>0</v>
      </c>
      <c r="N22" s="62">
        <v>0.16700000000000001</v>
      </c>
      <c r="O22" s="62">
        <v>0</v>
      </c>
      <c r="P22" s="72">
        <f t="shared" si="3"/>
        <v>3.5020000000000002</v>
      </c>
      <c r="Q22" s="88" t="str" cm="1">
        <f t="array" ref="Q22">_xlfn.IFS(P22&gt;4,"Excelent",AND(P22&gt;3,P22&lt;=4),"Very Good",AND(P22&gt;2,P22&lt;=3),"Good",AND(P22&gt;1,P22&lt;=2),"Fair")</f>
        <v>Very Good</v>
      </c>
      <c r="R22" s="63">
        <f t="shared" si="4"/>
        <v>0.66700000000000004</v>
      </c>
    </row>
    <row r="23" spans="1:19" ht="11.25" customHeight="1" x14ac:dyDescent="0.2">
      <c r="A23" s="48" t="str">
        <f t="shared" si="1"/>
        <v>2024</v>
      </c>
      <c r="B23" s="48" t="str">
        <f t="shared" si="5"/>
        <v>24 Spr</v>
      </c>
      <c r="C23" s="55" t="s">
        <v>137</v>
      </c>
      <c r="D23" s="56" t="s">
        <v>164</v>
      </c>
      <c r="E23" s="56" t="str">
        <f t="shared" si="2"/>
        <v>HSA 6930
Pro Seminar Hlth Mgt 2024</v>
      </c>
      <c r="F23" s="57" t="s">
        <v>140</v>
      </c>
      <c r="G23" s="58">
        <v>41</v>
      </c>
      <c r="H23" s="59">
        <v>6</v>
      </c>
      <c r="I23" s="60" t="s">
        <v>111</v>
      </c>
      <c r="J23" s="61" t="s">
        <v>95</v>
      </c>
      <c r="K23" s="62">
        <v>0.66700000000000004</v>
      </c>
      <c r="L23" s="62">
        <v>0</v>
      </c>
      <c r="M23" s="62">
        <v>0</v>
      </c>
      <c r="N23" s="62">
        <v>0.16700000000000001</v>
      </c>
      <c r="O23" s="62">
        <v>0</v>
      </c>
      <c r="P23" s="72">
        <f t="shared" si="3"/>
        <v>3.669</v>
      </c>
      <c r="Q23" s="88" t="str" cm="1">
        <f t="array" ref="Q23">_xlfn.IFS(P23&gt;4,"Excelent",AND(P23&gt;3,P23&lt;=4),"Very Good",AND(P23&gt;2,P23&lt;=3),"Good",AND(P23&gt;1,P23&lt;=2),"Fair")</f>
        <v>Very Good</v>
      </c>
      <c r="R23" s="63">
        <f t="shared" si="4"/>
        <v>0.66700000000000004</v>
      </c>
    </row>
    <row r="24" spans="1:19" ht="11.25" customHeight="1" x14ac:dyDescent="0.2">
      <c r="A24" s="48" t="str">
        <f t="shared" si="1"/>
        <v>2024</v>
      </c>
      <c r="B24" s="48" t="str">
        <f t="shared" si="5"/>
        <v>24 Spr</v>
      </c>
      <c r="C24" s="55" t="s">
        <v>137</v>
      </c>
      <c r="D24" s="56" t="s">
        <v>164</v>
      </c>
      <c r="E24" s="56" t="str">
        <f t="shared" si="2"/>
        <v>HSA 6930
Pro Seminar Hlth Mgt 2024</v>
      </c>
      <c r="F24" s="57" t="s">
        <v>140</v>
      </c>
      <c r="G24" s="58">
        <v>41</v>
      </c>
      <c r="H24" s="59">
        <v>6</v>
      </c>
      <c r="I24" s="60" t="s">
        <v>111</v>
      </c>
      <c r="J24" s="61" t="s">
        <v>96</v>
      </c>
      <c r="K24" s="62">
        <v>0.66700000000000004</v>
      </c>
      <c r="L24" s="62">
        <v>0</v>
      </c>
      <c r="M24" s="62">
        <v>0</v>
      </c>
      <c r="N24" s="62">
        <v>0.16700000000000001</v>
      </c>
      <c r="O24" s="62">
        <v>0</v>
      </c>
      <c r="P24" s="72">
        <f t="shared" si="3"/>
        <v>3.669</v>
      </c>
      <c r="Q24" s="88" t="str" cm="1">
        <f t="array" ref="Q24">_xlfn.IFS(P24&gt;4,"Excelent",AND(P24&gt;3,P24&lt;=4),"Very Good",AND(P24&gt;2,P24&lt;=3),"Good",AND(P24&gt;1,P24&lt;=2),"Fair")</f>
        <v>Very Good</v>
      </c>
      <c r="R24" s="63">
        <f t="shared" si="4"/>
        <v>0.66700000000000004</v>
      </c>
    </row>
    <row r="25" spans="1:19" s="75" customFormat="1" ht="11.25" customHeight="1" x14ac:dyDescent="0.25">
      <c r="A25" s="75" t="str">
        <f t="shared" si="1"/>
        <v>2024</v>
      </c>
      <c r="B25" s="75" t="str">
        <f t="shared" si="5"/>
        <v>24 Spr</v>
      </c>
      <c r="C25" s="76" t="s">
        <v>137</v>
      </c>
      <c r="D25" s="76" t="s">
        <v>104</v>
      </c>
      <c r="E25" s="76" t="str">
        <f t="shared" si="2"/>
        <v>HSA 6197
Hlth Info Systems 2024</v>
      </c>
      <c r="F25" s="77" t="s">
        <v>140</v>
      </c>
      <c r="G25" s="78">
        <v>41</v>
      </c>
      <c r="H25" s="79">
        <v>6</v>
      </c>
      <c r="I25" s="80" t="s">
        <v>111</v>
      </c>
      <c r="J25" s="81" t="s">
        <v>97</v>
      </c>
      <c r="K25" s="82">
        <v>0.5</v>
      </c>
      <c r="L25" s="82">
        <v>0</v>
      </c>
      <c r="M25" s="82">
        <v>0.33300000000000002</v>
      </c>
      <c r="N25" s="82">
        <v>0.16700000000000001</v>
      </c>
      <c r="O25" s="82">
        <v>0</v>
      </c>
      <c r="P25" s="83">
        <f t="shared" si="3"/>
        <v>3.8330000000000002</v>
      </c>
      <c r="Q25" s="88" t="str" cm="1">
        <f t="array" ref="Q25">_xlfn.IFS(P25&gt;4,"Excelent",AND(P25&gt;3,P25&lt;=4),"Very Good",AND(P25&gt;2,P25&lt;=3),"Good",AND(P25&gt;1,P25&lt;=2),"Fair")</f>
        <v>Very Good</v>
      </c>
      <c r="R25" s="84">
        <f t="shared" si="4"/>
        <v>0.5</v>
      </c>
      <c r="S25" s="75">
        <f>AVERAGE(P2:P25)</f>
        <v>3.4880833333333325</v>
      </c>
    </row>
    <row r="26" spans="1:19" ht="11.25" customHeight="1" x14ac:dyDescent="0.2">
      <c r="A26" s="48" t="str">
        <f t="shared" si="1"/>
        <v>2023</v>
      </c>
      <c r="B26" s="48" t="str">
        <f t="shared" si="5"/>
        <v>23 Fal</v>
      </c>
      <c r="C26" s="55" t="s">
        <v>135</v>
      </c>
      <c r="D26" s="56" t="s">
        <v>162</v>
      </c>
      <c r="E26" s="56" t="str">
        <f t="shared" si="2"/>
        <v>HSA 6197
Hlth Info Systems 2023</v>
      </c>
      <c r="F26" s="57" t="s">
        <v>136</v>
      </c>
      <c r="G26" s="58">
        <v>41</v>
      </c>
      <c r="H26" s="59">
        <v>10</v>
      </c>
      <c r="I26" s="60" t="s">
        <v>111</v>
      </c>
      <c r="J26" s="61" t="s">
        <v>90</v>
      </c>
      <c r="K26" s="62">
        <v>0.4</v>
      </c>
      <c r="L26" s="62">
        <v>0.2</v>
      </c>
      <c r="M26" s="62">
        <v>0.2</v>
      </c>
      <c r="N26" s="62">
        <v>0.1</v>
      </c>
      <c r="O26" s="62">
        <v>0</v>
      </c>
      <c r="P26" s="72">
        <f t="shared" si="3"/>
        <v>3.6</v>
      </c>
      <c r="Q26" s="88" t="str" cm="1">
        <f t="array" ref="Q26">_xlfn.IFS(P26&gt;4,"Excelent",AND(P26&gt;3,P26&lt;=4),"Very Good",AND(P26&gt;2,P26&lt;=3),"Good",AND(P26&gt;1,P26&lt;=2),"Fair")</f>
        <v>Very Good</v>
      </c>
      <c r="R26" s="63">
        <f t="shared" si="4"/>
        <v>0.60000000000000009</v>
      </c>
    </row>
    <row r="27" spans="1:19" ht="11.25" customHeight="1" x14ac:dyDescent="0.2">
      <c r="A27" s="48" t="str">
        <f t="shared" si="1"/>
        <v>2023</v>
      </c>
      <c r="B27" s="48" t="str">
        <f t="shared" si="5"/>
        <v>23 Fal</v>
      </c>
      <c r="C27" s="55" t="s">
        <v>135</v>
      </c>
      <c r="D27" s="56" t="s">
        <v>162</v>
      </c>
      <c r="E27" s="56" t="str">
        <f t="shared" si="2"/>
        <v>HSA 6197
Hlth Info Systems 2023</v>
      </c>
      <c r="F27" s="57" t="s">
        <v>136</v>
      </c>
      <c r="G27" s="58">
        <v>41</v>
      </c>
      <c r="H27" s="59">
        <v>10</v>
      </c>
      <c r="I27" s="60" t="s">
        <v>111</v>
      </c>
      <c r="J27" s="61" t="s">
        <v>91</v>
      </c>
      <c r="K27" s="62">
        <v>0.5</v>
      </c>
      <c r="L27" s="62">
        <v>0.1</v>
      </c>
      <c r="M27" s="62">
        <v>0.3</v>
      </c>
      <c r="N27" s="62">
        <v>0</v>
      </c>
      <c r="O27" s="62">
        <v>0</v>
      </c>
      <c r="P27" s="72">
        <f t="shared" si="3"/>
        <v>3.8</v>
      </c>
      <c r="Q27" s="88" t="str" cm="1">
        <f t="array" ref="Q27">_xlfn.IFS(P27&gt;4,"Excelent",AND(P27&gt;3,P27&lt;=4),"Very Good",AND(P27&gt;2,P27&lt;=3),"Good",AND(P27&gt;1,P27&lt;=2),"Fair")</f>
        <v>Very Good</v>
      </c>
      <c r="R27" s="63">
        <f t="shared" si="4"/>
        <v>0.6</v>
      </c>
    </row>
    <row r="28" spans="1:19" ht="11.25" customHeight="1" x14ac:dyDescent="0.2">
      <c r="A28" s="48" t="str">
        <f t="shared" si="1"/>
        <v>2023</v>
      </c>
      <c r="B28" s="48" t="str">
        <f t="shared" si="5"/>
        <v>23 Fal</v>
      </c>
      <c r="C28" s="55" t="s">
        <v>135</v>
      </c>
      <c r="D28" s="56" t="s">
        <v>162</v>
      </c>
      <c r="E28" s="56" t="str">
        <f t="shared" si="2"/>
        <v>HSA 6197
Hlth Info Systems 2023</v>
      </c>
      <c r="F28" s="57" t="s">
        <v>136</v>
      </c>
      <c r="G28" s="58">
        <v>41</v>
      </c>
      <c r="H28" s="59">
        <v>10</v>
      </c>
      <c r="I28" s="60" t="s">
        <v>111</v>
      </c>
      <c r="J28" s="61" t="s">
        <v>92</v>
      </c>
      <c r="K28" s="62">
        <v>0.5</v>
      </c>
      <c r="L28" s="62">
        <v>0</v>
      </c>
      <c r="M28" s="62">
        <v>0.3</v>
      </c>
      <c r="N28" s="62">
        <v>0.1</v>
      </c>
      <c r="O28" s="62">
        <v>0</v>
      </c>
      <c r="P28" s="72">
        <f t="shared" si="3"/>
        <v>3.6</v>
      </c>
      <c r="Q28" s="88" t="str" cm="1">
        <f t="array" ref="Q28">_xlfn.IFS(P28&gt;4,"Excelent",AND(P28&gt;3,P28&lt;=4),"Very Good",AND(P28&gt;2,P28&lt;=3),"Good",AND(P28&gt;1,P28&lt;=2),"Fair")</f>
        <v>Very Good</v>
      </c>
      <c r="R28" s="63">
        <f t="shared" si="4"/>
        <v>0.5</v>
      </c>
    </row>
    <row r="29" spans="1:19" ht="11.25" customHeight="1" x14ac:dyDescent="0.2">
      <c r="A29" s="48" t="str">
        <f t="shared" si="1"/>
        <v>2023</v>
      </c>
      <c r="B29" s="48" t="str">
        <f t="shared" si="5"/>
        <v>23 Fal</v>
      </c>
      <c r="C29" s="55" t="s">
        <v>135</v>
      </c>
      <c r="D29" s="56" t="s">
        <v>162</v>
      </c>
      <c r="E29" s="56" t="str">
        <f t="shared" si="2"/>
        <v>HSA 6197
Hlth Info Systems 2023</v>
      </c>
      <c r="F29" s="57" t="s">
        <v>136</v>
      </c>
      <c r="G29" s="58">
        <v>41</v>
      </c>
      <c r="H29" s="59">
        <v>10</v>
      </c>
      <c r="I29" s="60" t="s">
        <v>111</v>
      </c>
      <c r="J29" s="61" t="s">
        <v>93</v>
      </c>
      <c r="K29" s="62">
        <v>0.6</v>
      </c>
      <c r="L29" s="62">
        <v>0</v>
      </c>
      <c r="M29" s="62">
        <v>0.3</v>
      </c>
      <c r="N29" s="62">
        <v>0</v>
      </c>
      <c r="O29" s="62">
        <v>0</v>
      </c>
      <c r="P29" s="72">
        <f t="shared" si="3"/>
        <v>3.9</v>
      </c>
      <c r="Q29" s="88" t="str" cm="1">
        <f t="array" ref="Q29">_xlfn.IFS(P29&gt;4,"Excelent",AND(P29&gt;3,P29&lt;=4),"Very Good",AND(P29&gt;2,P29&lt;=3),"Good",AND(P29&gt;1,P29&lt;=2),"Fair")</f>
        <v>Very Good</v>
      </c>
      <c r="R29" s="63">
        <f t="shared" si="4"/>
        <v>0.6</v>
      </c>
    </row>
    <row r="30" spans="1:19" ht="11.25" customHeight="1" x14ac:dyDescent="0.2">
      <c r="A30" s="48" t="str">
        <f t="shared" si="1"/>
        <v>2023</v>
      </c>
      <c r="B30" s="48" t="str">
        <f t="shared" si="5"/>
        <v>23 Fal</v>
      </c>
      <c r="C30" s="55" t="s">
        <v>135</v>
      </c>
      <c r="D30" s="56" t="s">
        <v>162</v>
      </c>
      <c r="E30" s="56" t="str">
        <f t="shared" si="2"/>
        <v>HSA 6197
Hlth Info Systems 2023</v>
      </c>
      <c r="F30" s="57" t="s">
        <v>136</v>
      </c>
      <c r="G30" s="58">
        <v>41</v>
      </c>
      <c r="H30" s="59">
        <v>10</v>
      </c>
      <c r="I30" s="60" t="s">
        <v>111</v>
      </c>
      <c r="J30" s="61" t="s">
        <v>94</v>
      </c>
      <c r="K30" s="62">
        <v>0.5</v>
      </c>
      <c r="L30" s="62">
        <v>0.1</v>
      </c>
      <c r="M30" s="62">
        <v>0.3</v>
      </c>
      <c r="N30" s="62">
        <v>0</v>
      </c>
      <c r="O30" s="62">
        <v>0</v>
      </c>
      <c r="P30" s="72">
        <f t="shared" si="3"/>
        <v>3.8</v>
      </c>
      <c r="Q30" s="88" t="str" cm="1">
        <f t="array" ref="Q30">_xlfn.IFS(P30&gt;4,"Excelent",AND(P30&gt;3,P30&lt;=4),"Very Good",AND(P30&gt;2,P30&lt;=3),"Good",AND(P30&gt;1,P30&lt;=2),"Fair")</f>
        <v>Very Good</v>
      </c>
      <c r="R30" s="63">
        <f t="shared" si="4"/>
        <v>0.6</v>
      </c>
    </row>
    <row r="31" spans="1:19" ht="11.25" customHeight="1" x14ac:dyDescent="0.2">
      <c r="A31" s="48" t="str">
        <f t="shared" si="1"/>
        <v>2023</v>
      </c>
      <c r="B31" s="48" t="str">
        <f t="shared" si="5"/>
        <v>23 Fal</v>
      </c>
      <c r="C31" s="55" t="s">
        <v>135</v>
      </c>
      <c r="D31" s="56" t="s">
        <v>162</v>
      </c>
      <c r="E31" s="56" t="str">
        <f t="shared" si="2"/>
        <v>HSA 6197
Hlth Info Systems 2023</v>
      </c>
      <c r="F31" s="57" t="s">
        <v>136</v>
      </c>
      <c r="G31" s="58">
        <v>41</v>
      </c>
      <c r="H31" s="59">
        <v>10</v>
      </c>
      <c r="I31" s="60" t="s">
        <v>111</v>
      </c>
      <c r="J31" s="61" t="s">
        <v>95</v>
      </c>
      <c r="K31" s="62">
        <v>0.5</v>
      </c>
      <c r="L31" s="62">
        <v>0.2</v>
      </c>
      <c r="M31" s="62">
        <v>0.1</v>
      </c>
      <c r="N31" s="62">
        <v>0.1</v>
      </c>
      <c r="O31" s="62">
        <v>0</v>
      </c>
      <c r="P31" s="72">
        <f t="shared" si="3"/>
        <v>3.8</v>
      </c>
      <c r="Q31" s="88" t="str" cm="1">
        <f t="array" ref="Q31">_xlfn.IFS(P31&gt;4,"Excelent",AND(P31&gt;3,P31&lt;=4),"Very Good",AND(P31&gt;2,P31&lt;=3),"Good",AND(P31&gt;1,P31&lt;=2),"Fair")</f>
        <v>Very Good</v>
      </c>
      <c r="R31" s="63">
        <f t="shared" si="4"/>
        <v>0.7</v>
      </c>
    </row>
    <row r="32" spans="1:19" ht="11.25" customHeight="1" x14ac:dyDescent="0.2">
      <c r="A32" s="48" t="str">
        <f t="shared" si="1"/>
        <v>2023</v>
      </c>
      <c r="B32" s="48" t="str">
        <f t="shared" si="5"/>
        <v>23 Fal</v>
      </c>
      <c r="C32" s="55" t="s">
        <v>135</v>
      </c>
      <c r="D32" s="56" t="s">
        <v>162</v>
      </c>
      <c r="E32" s="56" t="str">
        <f t="shared" si="2"/>
        <v>HSA 6197
Hlth Info Systems 2023</v>
      </c>
      <c r="F32" s="57" t="s">
        <v>136</v>
      </c>
      <c r="G32" s="58">
        <v>41</v>
      </c>
      <c r="H32" s="59">
        <v>10</v>
      </c>
      <c r="I32" s="60" t="s">
        <v>111</v>
      </c>
      <c r="J32" s="61" t="s">
        <v>96</v>
      </c>
      <c r="K32" s="62">
        <v>0.7</v>
      </c>
      <c r="L32" s="62">
        <v>0.1</v>
      </c>
      <c r="M32" s="62">
        <v>0</v>
      </c>
      <c r="N32" s="62">
        <v>0.1</v>
      </c>
      <c r="O32" s="62">
        <v>0</v>
      </c>
      <c r="P32" s="72">
        <f t="shared" si="3"/>
        <v>4.0999999999999996</v>
      </c>
      <c r="Q32" s="88" t="str" cm="1">
        <f t="array" ref="Q32">_xlfn.IFS(P32&gt;4,"Excelent",AND(P32&gt;3,P32&lt;=4),"Very Good",AND(P32&gt;2,P32&lt;=3),"Good",AND(P32&gt;1,P32&lt;=2),"Fair")</f>
        <v>Excelent</v>
      </c>
      <c r="R32" s="63">
        <f t="shared" si="4"/>
        <v>0.79999999999999993</v>
      </c>
    </row>
    <row r="33" spans="1:19" ht="11.25" customHeight="1" x14ac:dyDescent="0.2">
      <c r="A33" s="48" t="str">
        <f t="shared" si="1"/>
        <v>2023</v>
      </c>
      <c r="B33" s="48" t="str">
        <f t="shared" si="5"/>
        <v>23 Fal</v>
      </c>
      <c r="C33" s="55" t="s">
        <v>135</v>
      </c>
      <c r="D33" s="56" t="s">
        <v>162</v>
      </c>
      <c r="E33" s="56" t="str">
        <f t="shared" si="2"/>
        <v>HSA 6717
Adv Hlth Mgt Res Sem 2023</v>
      </c>
      <c r="F33" s="57" t="s">
        <v>136</v>
      </c>
      <c r="G33" s="58">
        <v>41</v>
      </c>
      <c r="H33" s="59">
        <v>10</v>
      </c>
      <c r="I33" s="60" t="s">
        <v>111</v>
      </c>
      <c r="J33" s="61" t="s">
        <v>97</v>
      </c>
      <c r="K33" s="65">
        <v>0.5</v>
      </c>
      <c r="L33" s="65">
        <v>0.3</v>
      </c>
      <c r="M33" s="65">
        <v>0</v>
      </c>
      <c r="N33" s="65">
        <v>0.1</v>
      </c>
      <c r="O33" s="65">
        <v>0</v>
      </c>
      <c r="P33" s="72">
        <f t="shared" si="3"/>
        <v>3.9000000000000004</v>
      </c>
      <c r="Q33" s="88" t="str" cm="1">
        <f t="array" ref="Q33">_xlfn.IFS(P33&gt;4,"Excelent",AND(P33&gt;3,P33&lt;=4),"Very Good",AND(P33&gt;2,P33&lt;=3),"Good",AND(P33&gt;1,P33&lt;=2),"Fair")</f>
        <v>Very Good</v>
      </c>
      <c r="R33" s="63">
        <f t="shared" si="4"/>
        <v>0.8</v>
      </c>
    </row>
    <row r="34" spans="1:19" ht="11.25" customHeight="1" x14ac:dyDescent="0.2">
      <c r="A34" s="48" t="str">
        <f t="shared" si="1"/>
        <v>2023</v>
      </c>
      <c r="B34" s="48" t="str">
        <f t="shared" si="5"/>
        <v>23 Fal</v>
      </c>
      <c r="C34" s="55" t="s">
        <v>135</v>
      </c>
      <c r="D34" s="56" t="s">
        <v>163</v>
      </c>
      <c r="E34" s="56" t="str">
        <f t="shared" si="2"/>
        <v>HSA 6717
Adv Hlth Mgt Res Sem 2023</v>
      </c>
      <c r="F34" s="57" t="s">
        <v>141</v>
      </c>
      <c r="G34" s="58">
        <v>10</v>
      </c>
      <c r="H34" s="59">
        <v>3</v>
      </c>
      <c r="I34" s="60" t="s">
        <v>110</v>
      </c>
      <c r="J34" s="61" t="s">
        <v>90</v>
      </c>
      <c r="K34" s="62">
        <v>0.33300000000000002</v>
      </c>
      <c r="L34" s="62">
        <v>0.33300000000000002</v>
      </c>
      <c r="M34" s="62">
        <v>0.33300000000000002</v>
      </c>
      <c r="N34" s="62">
        <v>0</v>
      </c>
      <c r="O34" s="62">
        <v>0</v>
      </c>
      <c r="P34" s="72">
        <f t="shared" si="3"/>
        <v>3.996</v>
      </c>
      <c r="Q34" s="88" t="str" cm="1">
        <f t="array" ref="Q34">_xlfn.IFS(P34&gt;4,"Excelent",AND(P34&gt;3,P34&lt;=4),"Very Good",AND(P34&gt;2,P34&lt;=3),"Good",AND(P34&gt;1,P34&lt;=2),"Fair")</f>
        <v>Very Good</v>
      </c>
      <c r="R34" s="63">
        <f t="shared" si="4"/>
        <v>0.66600000000000004</v>
      </c>
    </row>
    <row r="35" spans="1:19" ht="11.25" customHeight="1" x14ac:dyDescent="0.2">
      <c r="A35" s="48" t="str">
        <f t="shared" si="1"/>
        <v>2023</v>
      </c>
      <c r="B35" s="48" t="str">
        <f t="shared" si="5"/>
        <v>23 Fal</v>
      </c>
      <c r="C35" s="55" t="s">
        <v>135</v>
      </c>
      <c r="D35" s="56" t="s">
        <v>163</v>
      </c>
      <c r="E35" s="56" t="str">
        <f t="shared" si="2"/>
        <v>HSA 6717
Adv Hlth Mgt Res Sem 2023</v>
      </c>
      <c r="F35" s="57" t="s">
        <v>141</v>
      </c>
      <c r="G35" s="58">
        <v>10</v>
      </c>
      <c r="H35" s="59">
        <v>3</v>
      </c>
      <c r="I35" s="60" t="s">
        <v>110</v>
      </c>
      <c r="J35" s="61" t="s">
        <v>91</v>
      </c>
      <c r="K35" s="62">
        <v>0.33300000000000002</v>
      </c>
      <c r="L35" s="62">
        <v>0.33300000000000002</v>
      </c>
      <c r="M35" s="62">
        <v>0.33300000000000002</v>
      </c>
      <c r="N35" s="62">
        <v>0</v>
      </c>
      <c r="O35" s="62">
        <v>0</v>
      </c>
      <c r="P35" s="72">
        <f t="shared" si="3"/>
        <v>3.996</v>
      </c>
      <c r="Q35" s="88" t="str" cm="1">
        <f t="array" ref="Q35">_xlfn.IFS(P35&gt;4,"Excelent",AND(P35&gt;3,P35&lt;=4),"Very Good",AND(P35&gt;2,P35&lt;=3),"Good",AND(P35&gt;1,P35&lt;=2),"Fair")</f>
        <v>Very Good</v>
      </c>
      <c r="R35" s="63">
        <f t="shared" si="4"/>
        <v>0.66600000000000004</v>
      </c>
    </row>
    <row r="36" spans="1:19" ht="11.25" customHeight="1" x14ac:dyDescent="0.2">
      <c r="A36" s="48" t="str">
        <f t="shared" si="1"/>
        <v>2023</v>
      </c>
      <c r="B36" s="48" t="str">
        <f t="shared" si="5"/>
        <v>23 Fal</v>
      </c>
      <c r="C36" s="55" t="s">
        <v>135</v>
      </c>
      <c r="D36" s="56" t="s">
        <v>163</v>
      </c>
      <c r="E36" s="56" t="str">
        <f t="shared" si="2"/>
        <v>HSA 6717
Adv Hlth Mgt Res Sem 2023</v>
      </c>
      <c r="F36" s="57" t="s">
        <v>141</v>
      </c>
      <c r="G36" s="58">
        <v>10</v>
      </c>
      <c r="H36" s="59">
        <v>3</v>
      </c>
      <c r="I36" s="60" t="s">
        <v>110</v>
      </c>
      <c r="J36" s="61" t="s">
        <v>92</v>
      </c>
      <c r="K36" s="62">
        <v>0</v>
      </c>
      <c r="L36" s="62">
        <v>0.33300000000000002</v>
      </c>
      <c r="M36" s="62">
        <v>0.33300000000000002</v>
      </c>
      <c r="N36" s="62">
        <v>0.33300000000000002</v>
      </c>
      <c r="O36" s="62">
        <v>0</v>
      </c>
      <c r="P36" s="72">
        <f t="shared" si="3"/>
        <v>2.9970000000000003</v>
      </c>
      <c r="Q36" s="88" t="str" cm="1">
        <f t="array" ref="Q36">_xlfn.IFS(P36&gt;4,"Excelent",AND(P36&gt;3,P36&lt;=4),"Very Good",AND(P36&gt;2,P36&lt;=3),"Good",AND(P36&gt;1,P36&lt;=2),"Fair")</f>
        <v>Good</v>
      </c>
      <c r="R36" s="63">
        <f t="shared" si="4"/>
        <v>0.33300000000000002</v>
      </c>
    </row>
    <row r="37" spans="1:19" ht="11.25" customHeight="1" x14ac:dyDescent="0.2">
      <c r="A37" s="48" t="str">
        <f t="shared" si="1"/>
        <v>2023</v>
      </c>
      <c r="B37" s="48" t="str">
        <f t="shared" si="5"/>
        <v>23 Fal</v>
      </c>
      <c r="C37" s="55" t="s">
        <v>135</v>
      </c>
      <c r="D37" s="56" t="s">
        <v>163</v>
      </c>
      <c r="E37" s="56" t="str">
        <f t="shared" si="2"/>
        <v>HSA 6717
Adv Hlth Mgt Res Sem 2023</v>
      </c>
      <c r="F37" s="57" t="s">
        <v>141</v>
      </c>
      <c r="G37" s="58">
        <v>10</v>
      </c>
      <c r="H37" s="59">
        <v>3</v>
      </c>
      <c r="I37" s="60" t="s">
        <v>110</v>
      </c>
      <c r="J37" s="61" t="s">
        <v>93</v>
      </c>
      <c r="K37" s="62">
        <v>0</v>
      </c>
      <c r="L37" s="62">
        <v>0.33300000000000002</v>
      </c>
      <c r="M37" s="62">
        <v>0.66700000000000004</v>
      </c>
      <c r="N37" s="62">
        <v>0</v>
      </c>
      <c r="O37" s="62">
        <v>0</v>
      </c>
      <c r="P37" s="72">
        <f t="shared" si="3"/>
        <v>3.3330000000000002</v>
      </c>
      <c r="Q37" s="88" t="str" cm="1">
        <f t="array" ref="Q37">_xlfn.IFS(P37&gt;4,"Excelent",AND(P37&gt;3,P37&lt;=4),"Very Good",AND(P37&gt;2,P37&lt;=3),"Good",AND(P37&gt;1,P37&lt;=2),"Fair")</f>
        <v>Very Good</v>
      </c>
      <c r="R37" s="63">
        <f t="shared" si="4"/>
        <v>0.33300000000000002</v>
      </c>
    </row>
    <row r="38" spans="1:19" ht="11.25" customHeight="1" x14ac:dyDescent="0.2">
      <c r="A38" s="48" t="str">
        <f t="shared" si="1"/>
        <v>2023</v>
      </c>
      <c r="B38" s="48" t="str">
        <f t="shared" si="5"/>
        <v>23 Fal</v>
      </c>
      <c r="C38" s="55" t="s">
        <v>135</v>
      </c>
      <c r="D38" s="56" t="s">
        <v>163</v>
      </c>
      <c r="E38" s="56" t="str">
        <f t="shared" si="2"/>
        <v>HSA 6717
Adv Hlth Mgt Res Sem 2023</v>
      </c>
      <c r="F38" s="57" t="s">
        <v>141</v>
      </c>
      <c r="G38" s="58">
        <v>10</v>
      </c>
      <c r="H38" s="59">
        <v>3</v>
      </c>
      <c r="I38" s="60" t="s">
        <v>110</v>
      </c>
      <c r="J38" s="61" t="s">
        <v>94</v>
      </c>
      <c r="K38" s="62">
        <v>0.33300000000000002</v>
      </c>
      <c r="L38" s="62">
        <v>0.33300000000000002</v>
      </c>
      <c r="M38" s="62">
        <v>0.33300000000000002</v>
      </c>
      <c r="N38" s="62">
        <v>0</v>
      </c>
      <c r="O38" s="62">
        <v>0</v>
      </c>
      <c r="P38" s="72">
        <f t="shared" si="3"/>
        <v>3.996</v>
      </c>
      <c r="Q38" s="88" t="str" cm="1">
        <f t="array" ref="Q38">_xlfn.IFS(P38&gt;4,"Excelent",AND(P38&gt;3,P38&lt;=4),"Very Good",AND(P38&gt;2,P38&lt;=3),"Good",AND(P38&gt;1,P38&lt;=2),"Fair")</f>
        <v>Very Good</v>
      </c>
      <c r="R38" s="63">
        <f t="shared" si="4"/>
        <v>0.66600000000000004</v>
      </c>
    </row>
    <row r="39" spans="1:19" ht="11.25" customHeight="1" x14ac:dyDescent="0.2">
      <c r="A39" s="48" t="str">
        <f t="shared" si="1"/>
        <v>2023</v>
      </c>
      <c r="B39" s="48" t="str">
        <f t="shared" si="5"/>
        <v>23 Fal</v>
      </c>
      <c r="C39" s="55" t="s">
        <v>135</v>
      </c>
      <c r="D39" s="56" t="s">
        <v>163</v>
      </c>
      <c r="E39" s="56" t="str">
        <f t="shared" si="2"/>
        <v>HSA 6717
Adv Hlth Mgt Res Sem 2023</v>
      </c>
      <c r="F39" s="57" t="s">
        <v>141</v>
      </c>
      <c r="G39" s="58">
        <v>10</v>
      </c>
      <c r="H39" s="59">
        <v>3</v>
      </c>
      <c r="I39" s="60" t="s">
        <v>110</v>
      </c>
      <c r="J39" s="61" t="s">
        <v>95</v>
      </c>
      <c r="K39" s="62">
        <v>0</v>
      </c>
      <c r="L39" s="62">
        <v>0.33300000000000002</v>
      </c>
      <c r="M39" s="62">
        <v>0.33300000000000002</v>
      </c>
      <c r="N39" s="62">
        <v>0.33300000000000002</v>
      </c>
      <c r="O39" s="62">
        <v>0</v>
      </c>
      <c r="P39" s="72">
        <f t="shared" si="3"/>
        <v>2.9970000000000003</v>
      </c>
      <c r="Q39" s="88" t="str" cm="1">
        <f t="array" ref="Q39">_xlfn.IFS(P39&gt;4,"Excelent",AND(P39&gt;3,P39&lt;=4),"Very Good",AND(P39&gt;2,P39&lt;=3),"Good",AND(P39&gt;1,P39&lt;=2),"Fair")</f>
        <v>Good</v>
      </c>
      <c r="R39" s="63">
        <f t="shared" si="4"/>
        <v>0.33300000000000002</v>
      </c>
    </row>
    <row r="40" spans="1:19" ht="11.25" customHeight="1" x14ac:dyDescent="0.2">
      <c r="A40" s="48" t="str">
        <f t="shared" si="1"/>
        <v>2023</v>
      </c>
      <c r="B40" s="48" t="str">
        <f t="shared" si="5"/>
        <v>23 Fal</v>
      </c>
      <c r="C40" s="55" t="s">
        <v>135</v>
      </c>
      <c r="D40" s="56" t="s">
        <v>163</v>
      </c>
      <c r="E40" s="56" t="str">
        <f t="shared" si="2"/>
        <v>HSA 6717
Adv Hlth Mgt Res Sem 2023</v>
      </c>
      <c r="F40" s="57" t="s">
        <v>141</v>
      </c>
      <c r="G40" s="58">
        <v>10</v>
      </c>
      <c r="H40" s="59">
        <v>3</v>
      </c>
      <c r="I40" s="60" t="s">
        <v>110</v>
      </c>
      <c r="J40" s="61" t="s">
        <v>96</v>
      </c>
      <c r="K40" s="62">
        <v>0.66700000000000004</v>
      </c>
      <c r="L40" s="62">
        <v>0.33300000000000002</v>
      </c>
      <c r="M40" s="62">
        <v>0</v>
      </c>
      <c r="N40" s="62">
        <v>0</v>
      </c>
      <c r="O40" s="62">
        <v>0</v>
      </c>
      <c r="P40" s="72">
        <f t="shared" si="3"/>
        <v>4.6669999999999998</v>
      </c>
      <c r="Q40" s="88" t="str" cm="1">
        <f t="array" ref="Q40">_xlfn.IFS(P40&gt;4,"Excelent",AND(P40&gt;3,P40&lt;=4),"Very Good",AND(P40&gt;2,P40&lt;=3),"Good",AND(P40&gt;1,P40&lt;=2),"Fair")</f>
        <v>Excelent</v>
      </c>
      <c r="R40" s="63">
        <f t="shared" si="4"/>
        <v>1</v>
      </c>
    </row>
    <row r="41" spans="1:19" s="75" customFormat="1" ht="11.25" customHeight="1" x14ac:dyDescent="0.25">
      <c r="A41" s="75" t="str">
        <f t="shared" si="1"/>
        <v>2023</v>
      </c>
      <c r="B41" s="75" t="str">
        <f t="shared" si="5"/>
        <v>23 Fal</v>
      </c>
      <c r="C41" s="76" t="s">
        <v>135</v>
      </c>
      <c r="D41" s="76" t="s">
        <v>103</v>
      </c>
      <c r="E41" s="76" t="str">
        <f t="shared" si="2"/>
        <v>HSA 6717
Adv Hlth Mgt Res Sem 2023</v>
      </c>
      <c r="F41" s="77" t="s">
        <v>141</v>
      </c>
      <c r="G41" s="78">
        <v>10</v>
      </c>
      <c r="H41" s="79">
        <v>3</v>
      </c>
      <c r="I41" s="80" t="s">
        <v>110</v>
      </c>
      <c r="J41" s="81" t="s">
        <v>97</v>
      </c>
      <c r="K41" s="82">
        <v>0.66700000000000004</v>
      </c>
      <c r="L41" s="82">
        <v>0.33300000000000002</v>
      </c>
      <c r="M41" s="82">
        <v>0</v>
      </c>
      <c r="N41" s="82">
        <v>0</v>
      </c>
      <c r="O41" s="82">
        <v>0</v>
      </c>
      <c r="P41" s="83">
        <f t="shared" si="3"/>
        <v>4.6669999999999998</v>
      </c>
      <c r="Q41" s="88" t="str" cm="1">
        <f t="array" ref="Q41">_xlfn.IFS(P41&gt;4,"Excelent",AND(P41&gt;3,P41&lt;=4),"Very Good",AND(P41&gt;2,P41&lt;=3),"Good",AND(P41&gt;1,P41&lt;=2),"Fair")</f>
        <v>Excelent</v>
      </c>
      <c r="R41" s="84">
        <f t="shared" si="4"/>
        <v>1</v>
      </c>
      <c r="S41" s="75">
        <f>AVERAGE(P26:P41)</f>
        <v>3.8218125000000005</v>
      </c>
    </row>
    <row r="42" spans="1:19" ht="11.25" customHeight="1" x14ac:dyDescent="0.2">
      <c r="A42" s="48" t="str">
        <f t="shared" si="1"/>
        <v>2023</v>
      </c>
      <c r="B42" s="48" t="str">
        <f t="shared" si="5"/>
        <v>23 Sum</v>
      </c>
      <c r="C42" s="55" t="s">
        <v>142</v>
      </c>
      <c r="D42" s="56" t="s">
        <v>163</v>
      </c>
      <c r="E42" s="56" t="str">
        <f t="shared" si="2"/>
        <v>HSA 6717
Adv Hlth Mgt Res Sem 2023</v>
      </c>
      <c r="F42" s="57" t="s">
        <v>143</v>
      </c>
      <c r="G42" s="58">
        <v>19</v>
      </c>
      <c r="H42" s="59">
        <v>6</v>
      </c>
      <c r="I42" s="60" t="s">
        <v>111</v>
      </c>
      <c r="J42" s="61" t="s">
        <v>90</v>
      </c>
      <c r="K42" s="62">
        <v>0.33300000000000002</v>
      </c>
      <c r="L42" s="62">
        <v>0</v>
      </c>
      <c r="M42" s="62">
        <v>0</v>
      </c>
      <c r="N42" s="62">
        <v>0.33300000000000002</v>
      </c>
      <c r="O42" s="62">
        <v>0.33300000000000002</v>
      </c>
      <c r="P42" s="72">
        <f t="shared" si="3"/>
        <v>2.6640000000000001</v>
      </c>
      <c r="Q42" s="88" t="str" cm="1">
        <f t="array" ref="Q42">_xlfn.IFS(P42&gt;4,"Excelent",AND(P42&gt;3,P42&lt;=4),"Very Good",AND(P42&gt;2,P42&lt;=3),"Good",AND(P42&gt;1,P42&lt;=2),"Fair")</f>
        <v>Good</v>
      </c>
      <c r="R42" s="63">
        <f t="shared" si="4"/>
        <v>0.33300000000000002</v>
      </c>
    </row>
    <row r="43" spans="1:19" ht="11.25" customHeight="1" x14ac:dyDescent="0.2">
      <c r="A43" s="48" t="str">
        <f t="shared" si="1"/>
        <v>2023</v>
      </c>
      <c r="B43" s="48" t="str">
        <f t="shared" si="5"/>
        <v>23 Sum</v>
      </c>
      <c r="C43" s="55" t="s">
        <v>142</v>
      </c>
      <c r="D43" s="56" t="s">
        <v>163</v>
      </c>
      <c r="E43" s="56" t="str">
        <f t="shared" si="2"/>
        <v>HSA 6717
Adv Hlth Mgt Res Sem 2023</v>
      </c>
      <c r="F43" s="57" t="s">
        <v>143</v>
      </c>
      <c r="G43" s="58">
        <v>19</v>
      </c>
      <c r="H43" s="59">
        <v>6</v>
      </c>
      <c r="I43" s="60" t="s">
        <v>111</v>
      </c>
      <c r="J43" s="61" t="s">
        <v>91</v>
      </c>
      <c r="K43" s="62">
        <v>0.33300000000000002</v>
      </c>
      <c r="L43" s="62">
        <v>0</v>
      </c>
      <c r="M43" s="62">
        <v>0</v>
      </c>
      <c r="N43" s="62">
        <v>0</v>
      </c>
      <c r="O43" s="62">
        <v>0.66700000000000004</v>
      </c>
      <c r="P43" s="72">
        <f t="shared" si="3"/>
        <v>2.3319999999999999</v>
      </c>
      <c r="Q43" s="88" t="str" cm="1">
        <f t="array" ref="Q43">_xlfn.IFS(P43&gt;4,"Excelent",AND(P43&gt;3,P43&lt;=4),"Very Good",AND(P43&gt;2,P43&lt;=3),"Good",AND(P43&gt;1,P43&lt;=2),"Fair")</f>
        <v>Good</v>
      </c>
      <c r="R43" s="63">
        <f t="shared" si="4"/>
        <v>0.33300000000000002</v>
      </c>
    </row>
    <row r="44" spans="1:19" ht="11.25" customHeight="1" x14ac:dyDescent="0.2">
      <c r="A44" s="48" t="str">
        <f t="shared" si="1"/>
        <v>2023</v>
      </c>
      <c r="B44" s="48" t="str">
        <f t="shared" si="5"/>
        <v>23 Sum</v>
      </c>
      <c r="C44" s="55" t="s">
        <v>142</v>
      </c>
      <c r="D44" s="56" t="s">
        <v>163</v>
      </c>
      <c r="E44" s="56" t="str">
        <f t="shared" si="2"/>
        <v>HSA 6717
Adv Hlth Mgt Res Sem 2023</v>
      </c>
      <c r="F44" s="57" t="s">
        <v>143</v>
      </c>
      <c r="G44" s="58">
        <v>19</v>
      </c>
      <c r="H44" s="59">
        <v>6</v>
      </c>
      <c r="I44" s="60" t="s">
        <v>111</v>
      </c>
      <c r="J44" s="61" t="s">
        <v>92</v>
      </c>
      <c r="K44" s="62">
        <v>0.33300000000000002</v>
      </c>
      <c r="L44" s="62">
        <v>0</v>
      </c>
      <c r="M44" s="62">
        <v>0</v>
      </c>
      <c r="N44" s="62">
        <v>0</v>
      </c>
      <c r="O44" s="62">
        <v>0.66700000000000004</v>
      </c>
      <c r="P44" s="72">
        <f t="shared" si="3"/>
        <v>2.3319999999999999</v>
      </c>
      <c r="Q44" s="88" t="str" cm="1">
        <f t="array" ref="Q44">_xlfn.IFS(P44&gt;4,"Excelent",AND(P44&gt;3,P44&lt;=4),"Very Good",AND(P44&gt;2,P44&lt;=3),"Good",AND(P44&gt;1,P44&lt;=2),"Fair")</f>
        <v>Good</v>
      </c>
      <c r="R44" s="63">
        <f t="shared" si="4"/>
        <v>0.33300000000000002</v>
      </c>
    </row>
    <row r="45" spans="1:19" ht="11.25" customHeight="1" x14ac:dyDescent="0.2">
      <c r="A45" s="48" t="str">
        <f t="shared" si="1"/>
        <v>2023</v>
      </c>
      <c r="B45" s="48" t="str">
        <f t="shared" si="5"/>
        <v>23 Sum</v>
      </c>
      <c r="C45" s="55" t="s">
        <v>142</v>
      </c>
      <c r="D45" s="56" t="s">
        <v>163</v>
      </c>
      <c r="E45" s="56" t="str">
        <f t="shared" si="2"/>
        <v>HSA 6717
Adv Hlth Mgt Res Sem 2023</v>
      </c>
      <c r="F45" s="57" t="s">
        <v>143</v>
      </c>
      <c r="G45" s="58">
        <v>19</v>
      </c>
      <c r="H45" s="59">
        <v>6</v>
      </c>
      <c r="I45" s="60" t="s">
        <v>111</v>
      </c>
      <c r="J45" s="61" t="s">
        <v>93</v>
      </c>
      <c r="K45" s="62">
        <v>0.33300000000000002</v>
      </c>
      <c r="L45" s="62">
        <v>0</v>
      </c>
      <c r="M45" s="62">
        <v>0</v>
      </c>
      <c r="N45" s="62">
        <v>0</v>
      </c>
      <c r="O45" s="62">
        <v>0.66700000000000004</v>
      </c>
      <c r="P45" s="72">
        <f t="shared" si="3"/>
        <v>2.3319999999999999</v>
      </c>
      <c r="Q45" s="88" t="str" cm="1">
        <f t="array" ref="Q45">_xlfn.IFS(P45&gt;4,"Excelent",AND(P45&gt;3,P45&lt;=4),"Very Good",AND(P45&gt;2,P45&lt;=3),"Good",AND(P45&gt;1,P45&lt;=2),"Fair")</f>
        <v>Good</v>
      </c>
      <c r="R45" s="63">
        <f t="shared" si="4"/>
        <v>0.33300000000000002</v>
      </c>
    </row>
    <row r="46" spans="1:19" ht="11.25" customHeight="1" x14ac:dyDescent="0.2">
      <c r="A46" s="48" t="str">
        <f t="shared" si="1"/>
        <v>2023</v>
      </c>
      <c r="B46" s="48" t="str">
        <f t="shared" si="5"/>
        <v>23 Sum</v>
      </c>
      <c r="C46" s="55" t="s">
        <v>142</v>
      </c>
      <c r="D46" s="56" t="s">
        <v>163</v>
      </c>
      <c r="E46" s="56" t="str">
        <f t="shared" si="2"/>
        <v>HSA 6717
Adv Hlth Mgt Res Sem 2023</v>
      </c>
      <c r="F46" s="57" t="s">
        <v>143</v>
      </c>
      <c r="G46" s="58">
        <v>19</v>
      </c>
      <c r="H46" s="59">
        <v>6</v>
      </c>
      <c r="I46" s="60" t="s">
        <v>111</v>
      </c>
      <c r="J46" s="61" t="s">
        <v>94</v>
      </c>
      <c r="K46" s="62">
        <v>0.33300000000000002</v>
      </c>
      <c r="L46" s="62">
        <v>0</v>
      </c>
      <c r="M46" s="62">
        <v>0</v>
      </c>
      <c r="N46" s="62">
        <v>0</v>
      </c>
      <c r="O46" s="62">
        <v>0.66700000000000004</v>
      </c>
      <c r="P46" s="72">
        <f t="shared" si="3"/>
        <v>2.3319999999999999</v>
      </c>
      <c r="Q46" s="88" t="str" cm="1">
        <f t="array" ref="Q46">_xlfn.IFS(P46&gt;4,"Excelent",AND(P46&gt;3,P46&lt;=4),"Very Good",AND(P46&gt;2,P46&lt;=3),"Good",AND(P46&gt;1,P46&lt;=2),"Fair")</f>
        <v>Good</v>
      </c>
      <c r="R46" s="63">
        <f t="shared" si="4"/>
        <v>0.33300000000000002</v>
      </c>
    </row>
    <row r="47" spans="1:19" ht="11.25" customHeight="1" x14ac:dyDescent="0.2">
      <c r="A47" s="48" t="str">
        <f t="shared" si="1"/>
        <v>2023</v>
      </c>
      <c r="B47" s="48" t="str">
        <f t="shared" si="5"/>
        <v>23 Sum</v>
      </c>
      <c r="C47" s="55" t="s">
        <v>142</v>
      </c>
      <c r="D47" s="56" t="s">
        <v>163</v>
      </c>
      <c r="E47" s="56" t="str">
        <f t="shared" si="2"/>
        <v>HSA 6717
Adv Hlth Mgt Res Sem 2023</v>
      </c>
      <c r="F47" s="57" t="s">
        <v>143</v>
      </c>
      <c r="G47" s="58">
        <v>19</v>
      </c>
      <c r="H47" s="59">
        <v>6</v>
      </c>
      <c r="I47" s="60" t="s">
        <v>111</v>
      </c>
      <c r="J47" s="61" t="s">
        <v>95</v>
      </c>
      <c r="K47" s="62">
        <v>0.33300000000000002</v>
      </c>
      <c r="L47" s="62">
        <v>0</v>
      </c>
      <c r="M47" s="62">
        <v>0.16700000000000001</v>
      </c>
      <c r="N47" s="62">
        <v>0</v>
      </c>
      <c r="O47" s="62">
        <v>0.5</v>
      </c>
      <c r="P47" s="72">
        <f t="shared" si="3"/>
        <v>2.6659999999999999</v>
      </c>
      <c r="Q47" s="88" t="str" cm="1">
        <f t="array" ref="Q47">_xlfn.IFS(P47&gt;4,"Excelent",AND(P47&gt;3,P47&lt;=4),"Very Good",AND(P47&gt;2,P47&lt;=3),"Good",AND(P47&gt;1,P47&lt;=2),"Fair")</f>
        <v>Good</v>
      </c>
      <c r="R47" s="63">
        <f t="shared" si="4"/>
        <v>0.33300000000000002</v>
      </c>
    </row>
    <row r="48" spans="1:19" ht="11.25" customHeight="1" x14ac:dyDescent="0.2">
      <c r="A48" s="48" t="str">
        <f t="shared" si="1"/>
        <v>2023</v>
      </c>
      <c r="B48" s="48" t="str">
        <f t="shared" si="5"/>
        <v>23 Sum</v>
      </c>
      <c r="C48" s="55" t="s">
        <v>142</v>
      </c>
      <c r="D48" s="56" t="s">
        <v>163</v>
      </c>
      <c r="E48" s="56" t="str">
        <f t="shared" si="2"/>
        <v>HSA 6717
Adv Hlth Mgt Res Sem 2023</v>
      </c>
      <c r="F48" s="57" t="s">
        <v>143</v>
      </c>
      <c r="G48" s="58">
        <v>19</v>
      </c>
      <c r="H48" s="59">
        <v>6</v>
      </c>
      <c r="I48" s="60" t="s">
        <v>111</v>
      </c>
      <c r="J48" s="61" t="s">
        <v>96</v>
      </c>
      <c r="K48" s="62">
        <v>0.33300000000000002</v>
      </c>
      <c r="L48" s="62">
        <v>0</v>
      </c>
      <c r="M48" s="62">
        <v>0.16700000000000001</v>
      </c>
      <c r="N48" s="62">
        <v>0.16700000000000001</v>
      </c>
      <c r="O48" s="62">
        <v>0.16700000000000001</v>
      </c>
      <c r="P48" s="72">
        <f t="shared" si="3"/>
        <v>2.6669999999999998</v>
      </c>
      <c r="Q48" s="88" t="str" cm="1">
        <f t="array" ref="Q48">_xlfn.IFS(P48&gt;4,"Excelent",AND(P48&gt;3,P48&lt;=4),"Very Good",AND(P48&gt;2,P48&lt;=3),"Good",AND(P48&gt;1,P48&lt;=2),"Fair")</f>
        <v>Good</v>
      </c>
      <c r="R48" s="63">
        <f t="shared" si="4"/>
        <v>0.33300000000000002</v>
      </c>
    </row>
    <row r="49" spans="1:19" ht="11.25" customHeight="1" x14ac:dyDescent="0.2">
      <c r="A49" s="48" t="str">
        <f t="shared" si="1"/>
        <v>2023</v>
      </c>
      <c r="B49" s="48" t="str">
        <f t="shared" si="5"/>
        <v>23 Sum</v>
      </c>
      <c r="C49" s="55" t="s">
        <v>142</v>
      </c>
      <c r="D49" s="56" t="s">
        <v>163</v>
      </c>
      <c r="E49" s="56" t="str">
        <f t="shared" si="2"/>
        <v>HSA 6717
Adv Hlth Mgt Res Sem 2023</v>
      </c>
      <c r="F49" s="57" t="s">
        <v>143</v>
      </c>
      <c r="G49" s="58">
        <v>19</v>
      </c>
      <c r="H49" s="59">
        <v>6</v>
      </c>
      <c r="I49" s="60" t="s">
        <v>111</v>
      </c>
      <c r="J49" s="61" t="s">
        <v>97</v>
      </c>
      <c r="K49" s="65">
        <v>0.33300000000000002</v>
      </c>
      <c r="L49" s="65">
        <v>0</v>
      </c>
      <c r="M49" s="65">
        <v>0</v>
      </c>
      <c r="N49" s="65">
        <v>0.33300000000000002</v>
      </c>
      <c r="O49" s="65">
        <v>0.33300000000000002</v>
      </c>
      <c r="P49" s="72">
        <f t="shared" si="3"/>
        <v>2.6640000000000001</v>
      </c>
      <c r="Q49" s="88" t="str" cm="1">
        <f t="array" ref="Q49">_xlfn.IFS(P49&gt;4,"Excelent",AND(P49&gt;3,P49&lt;=4),"Very Good",AND(P49&gt;2,P49&lt;=3),"Good",AND(P49&gt;1,P49&lt;=2),"Fair")</f>
        <v>Good</v>
      </c>
      <c r="R49" s="63">
        <f t="shared" si="4"/>
        <v>0.33300000000000002</v>
      </c>
    </row>
    <row r="50" spans="1:19" ht="11.25" customHeight="1" x14ac:dyDescent="0.2">
      <c r="A50" s="48" t="str">
        <f t="shared" si="1"/>
        <v>2023</v>
      </c>
      <c r="B50" s="48" t="str">
        <f t="shared" si="5"/>
        <v>23 Sum</v>
      </c>
      <c r="C50" s="55" t="s">
        <v>142</v>
      </c>
      <c r="D50" s="56" t="s">
        <v>163</v>
      </c>
      <c r="E50" s="56" t="str">
        <f t="shared" si="2"/>
        <v>HSA 6717
Adv Hlth Mgt Res Sem 2023</v>
      </c>
      <c r="F50" s="66" t="s">
        <v>144</v>
      </c>
      <c r="G50" s="58">
        <v>18</v>
      </c>
      <c r="H50" s="59">
        <v>7</v>
      </c>
      <c r="I50" s="60" t="s">
        <v>111</v>
      </c>
      <c r="J50" s="61" t="s">
        <v>90</v>
      </c>
      <c r="K50" s="62">
        <v>0.28599999999999998</v>
      </c>
      <c r="L50" s="62">
        <v>0</v>
      </c>
      <c r="M50" s="62">
        <v>0</v>
      </c>
      <c r="N50" s="62">
        <v>0.42899999999999999</v>
      </c>
      <c r="O50" s="62">
        <v>0.28599999999999998</v>
      </c>
      <c r="P50" s="72">
        <f t="shared" si="3"/>
        <v>2.5739999999999998</v>
      </c>
      <c r="Q50" s="88" t="str" cm="1">
        <f t="array" ref="Q50">_xlfn.IFS(P50&gt;4,"Excelent",AND(P50&gt;3,P50&lt;=4),"Very Good",AND(P50&gt;2,P50&lt;=3),"Good",AND(P50&gt;1,P50&lt;=2),"Fair")</f>
        <v>Good</v>
      </c>
      <c r="R50" s="63">
        <f t="shared" si="4"/>
        <v>0.28599999999999998</v>
      </c>
    </row>
    <row r="51" spans="1:19" ht="11.25" customHeight="1" x14ac:dyDescent="0.2">
      <c r="A51" s="48" t="str">
        <f t="shared" si="1"/>
        <v>2023</v>
      </c>
      <c r="B51" s="48" t="str">
        <f t="shared" si="5"/>
        <v>23 Sum</v>
      </c>
      <c r="C51" s="55" t="s">
        <v>142</v>
      </c>
      <c r="D51" s="56" t="s">
        <v>163</v>
      </c>
      <c r="E51" s="56" t="str">
        <f t="shared" si="2"/>
        <v>HSA 6717
Adv Hlth Mgt Res Sem 2023</v>
      </c>
      <c r="F51" s="66" t="s">
        <v>144</v>
      </c>
      <c r="G51" s="58">
        <v>18</v>
      </c>
      <c r="H51" s="59">
        <v>7</v>
      </c>
      <c r="I51" s="60" t="s">
        <v>111</v>
      </c>
      <c r="J51" s="61" t="s">
        <v>91</v>
      </c>
      <c r="K51" s="62">
        <v>0.28599999999999998</v>
      </c>
      <c r="L51" s="62">
        <v>0</v>
      </c>
      <c r="M51" s="62">
        <v>0.42899999999999999</v>
      </c>
      <c r="N51" s="62">
        <v>0.14299999999999999</v>
      </c>
      <c r="O51" s="62">
        <v>0.14299999999999999</v>
      </c>
      <c r="P51" s="72">
        <f t="shared" si="3"/>
        <v>3.1459999999999995</v>
      </c>
      <c r="Q51" s="88" t="str" cm="1">
        <f t="array" ref="Q51">_xlfn.IFS(P51&gt;4,"Excelent",AND(P51&gt;3,P51&lt;=4),"Very Good",AND(P51&gt;2,P51&lt;=3),"Good",AND(P51&gt;1,P51&lt;=2),"Fair")</f>
        <v>Very Good</v>
      </c>
      <c r="R51" s="63">
        <f t="shared" si="4"/>
        <v>0.28599999999999998</v>
      </c>
    </row>
    <row r="52" spans="1:19" ht="11.25" customHeight="1" x14ac:dyDescent="0.2">
      <c r="A52" s="48" t="str">
        <f t="shared" si="1"/>
        <v>2023</v>
      </c>
      <c r="B52" s="48" t="str">
        <f t="shared" si="5"/>
        <v>23 Sum</v>
      </c>
      <c r="C52" s="55" t="s">
        <v>142</v>
      </c>
      <c r="D52" s="56" t="s">
        <v>163</v>
      </c>
      <c r="E52" s="56" t="str">
        <f t="shared" si="2"/>
        <v>HSA 6717
Adv Hlth Mgt Res Sem 2023</v>
      </c>
      <c r="F52" s="66" t="s">
        <v>144</v>
      </c>
      <c r="G52" s="58">
        <v>18</v>
      </c>
      <c r="H52" s="59">
        <v>7</v>
      </c>
      <c r="I52" s="60" t="s">
        <v>111</v>
      </c>
      <c r="J52" s="61" t="s">
        <v>92</v>
      </c>
      <c r="K52" s="62">
        <v>0.28599999999999998</v>
      </c>
      <c r="L52" s="62">
        <v>0</v>
      </c>
      <c r="M52" s="62">
        <v>0</v>
      </c>
      <c r="N52" s="62">
        <v>0.14299999999999999</v>
      </c>
      <c r="O52" s="62">
        <v>0.57099999999999995</v>
      </c>
      <c r="P52" s="72">
        <f t="shared" si="3"/>
        <v>2.2869999999999999</v>
      </c>
      <c r="Q52" s="88" t="str" cm="1">
        <f t="array" ref="Q52">_xlfn.IFS(P52&gt;4,"Excelent",AND(P52&gt;3,P52&lt;=4),"Very Good",AND(P52&gt;2,P52&lt;=3),"Good",AND(P52&gt;1,P52&lt;=2),"Fair")</f>
        <v>Good</v>
      </c>
      <c r="R52" s="63">
        <f t="shared" si="4"/>
        <v>0.28599999999999998</v>
      </c>
    </row>
    <row r="53" spans="1:19" ht="11.25" customHeight="1" x14ac:dyDescent="0.2">
      <c r="A53" s="48" t="str">
        <f t="shared" si="1"/>
        <v>2023</v>
      </c>
      <c r="B53" s="48" t="str">
        <f t="shared" si="5"/>
        <v>23 Sum</v>
      </c>
      <c r="C53" s="55" t="s">
        <v>142</v>
      </c>
      <c r="D53" s="56" t="s">
        <v>163</v>
      </c>
      <c r="E53" s="56" t="str">
        <f t="shared" si="2"/>
        <v>HSA 6717
Adv Hlth Mgt Res Sem 2023</v>
      </c>
      <c r="F53" s="66" t="s">
        <v>144</v>
      </c>
      <c r="G53" s="58">
        <v>18</v>
      </c>
      <c r="H53" s="59">
        <v>7</v>
      </c>
      <c r="I53" s="60" t="s">
        <v>111</v>
      </c>
      <c r="J53" s="61" t="s">
        <v>93</v>
      </c>
      <c r="K53" s="62">
        <v>0.28599999999999998</v>
      </c>
      <c r="L53" s="62">
        <v>0</v>
      </c>
      <c r="M53" s="62">
        <v>0</v>
      </c>
      <c r="N53" s="62">
        <v>0.42899999999999999</v>
      </c>
      <c r="O53" s="62">
        <v>0.28599999999999998</v>
      </c>
      <c r="P53" s="72">
        <f t="shared" si="3"/>
        <v>2.5739999999999998</v>
      </c>
      <c r="Q53" s="88" t="str" cm="1">
        <f t="array" ref="Q53">_xlfn.IFS(P53&gt;4,"Excelent",AND(P53&gt;3,P53&lt;=4),"Very Good",AND(P53&gt;2,P53&lt;=3),"Good",AND(P53&gt;1,P53&lt;=2),"Fair")</f>
        <v>Good</v>
      </c>
      <c r="R53" s="63">
        <f t="shared" si="4"/>
        <v>0.28599999999999998</v>
      </c>
    </row>
    <row r="54" spans="1:19" ht="11.25" customHeight="1" x14ac:dyDescent="0.2">
      <c r="A54" s="48" t="str">
        <f t="shared" si="1"/>
        <v>2023</v>
      </c>
      <c r="B54" s="48" t="str">
        <f t="shared" si="5"/>
        <v>23 Sum</v>
      </c>
      <c r="C54" s="55" t="s">
        <v>142</v>
      </c>
      <c r="D54" s="56" t="s">
        <v>163</v>
      </c>
      <c r="E54" s="56" t="str">
        <f t="shared" si="2"/>
        <v>HSA 6717
Adv Hlth Mgt Res Sem 2023</v>
      </c>
      <c r="F54" s="66" t="s">
        <v>144</v>
      </c>
      <c r="G54" s="58">
        <v>18</v>
      </c>
      <c r="H54" s="59">
        <v>7</v>
      </c>
      <c r="I54" s="60" t="s">
        <v>111</v>
      </c>
      <c r="J54" s="61" t="s">
        <v>94</v>
      </c>
      <c r="K54" s="62">
        <v>0.28599999999999998</v>
      </c>
      <c r="L54" s="62">
        <v>0</v>
      </c>
      <c r="M54" s="62">
        <v>0.14299999999999999</v>
      </c>
      <c r="N54" s="62">
        <v>0.28599999999999998</v>
      </c>
      <c r="O54" s="62">
        <v>0.28599999999999998</v>
      </c>
      <c r="P54" s="72">
        <f t="shared" si="3"/>
        <v>2.7170000000000001</v>
      </c>
      <c r="Q54" s="88" t="str" cm="1">
        <f t="array" ref="Q54">_xlfn.IFS(P54&gt;4,"Excelent",AND(P54&gt;3,P54&lt;=4),"Very Good",AND(P54&gt;2,P54&lt;=3),"Good",AND(P54&gt;1,P54&lt;=2),"Fair")</f>
        <v>Good</v>
      </c>
      <c r="R54" s="63">
        <f t="shared" si="4"/>
        <v>0.28599999999999998</v>
      </c>
    </row>
    <row r="55" spans="1:19" ht="11.25" customHeight="1" x14ac:dyDescent="0.2">
      <c r="A55" s="48" t="str">
        <f t="shared" si="1"/>
        <v>2023</v>
      </c>
      <c r="B55" s="48" t="str">
        <f t="shared" si="5"/>
        <v>23 Sum</v>
      </c>
      <c r="C55" s="55" t="s">
        <v>142</v>
      </c>
      <c r="D55" s="56" t="s">
        <v>163</v>
      </c>
      <c r="E55" s="56" t="str">
        <f t="shared" si="2"/>
        <v>HSA 6717
Adv Hlth Mgt Res Sem 2023</v>
      </c>
      <c r="F55" s="66" t="s">
        <v>144</v>
      </c>
      <c r="G55" s="58">
        <v>18</v>
      </c>
      <c r="H55" s="59">
        <v>7</v>
      </c>
      <c r="I55" s="60" t="s">
        <v>111</v>
      </c>
      <c r="J55" s="61" t="s">
        <v>95</v>
      </c>
      <c r="K55" s="62">
        <v>0.28599999999999998</v>
      </c>
      <c r="L55" s="62">
        <v>0</v>
      </c>
      <c r="M55" s="62">
        <v>0.28599999999999998</v>
      </c>
      <c r="N55" s="62">
        <v>0.28599999999999998</v>
      </c>
      <c r="O55" s="62">
        <v>0.14299999999999999</v>
      </c>
      <c r="P55" s="72">
        <f t="shared" si="3"/>
        <v>3.0029999999999997</v>
      </c>
      <c r="Q55" s="88" t="str" cm="1">
        <f t="array" ref="Q55">_xlfn.IFS(P55&gt;4,"Excelent",AND(P55&gt;3,P55&lt;=4),"Very Good",AND(P55&gt;2,P55&lt;=3),"Good",AND(P55&gt;1,P55&lt;=2),"Fair")</f>
        <v>Very Good</v>
      </c>
      <c r="R55" s="63">
        <f t="shared" si="4"/>
        <v>0.28599999999999998</v>
      </c>
    </row>
    <row r="56" spans="1:19" ht="11.25" customHeight="1" x14ac:dyDescent="0.2">
      <c r="A56" s="48" t="str">
        <f t="shared" si="1"/>
        <v>2023</v>
      </c>
      <c r="B56" s="48" t="str">
        <f t="shared" si="5"/>
        <v>23 Sum</v>
      </c>
      <c r="C56" s="55" t="s">
        <v>142</v>
      </c>
      <c r="D56" s="56" t="s">
        <v>163</v>
      </c>
      <c r="E56" s="56" t="str">
        <f t="shared" si="2"/>
        <v>HSA 6717
Adv Hlth Mgt Res Sem 2023</v>
      </c>
      <c r="F56" s="66" t="s">
        <v>144</v>
      </c>
      <c r="G56" s="58">
        <v>18</v>
      </c>
      <c r="H56" s="59">
        <v>7</v>
      </c>
      <c r="I56" s="60" t="s">
        <v>111</v>
      </c>
      <c r="J56" s="61" t="s">
        <v>96</v>
      </c>
      <c r="K56" s="62">
        <v>0.42899999999999999</v>
      </c>
      <c r="L56" s="62">
        <v>0.28599999999999998</v>
      </c>
      <c r="M56" s="62">
        <v>0.14299999999999999</v>
      </c>
      <c r="N56" s="62">
        <v>0.14299999999999999</v>
      </c>
      <c r="O56" s="62">
        <v>0</v>
      </c>
      <c r="P56" s="72">
        <f t="shared" si="3"/>
        <v>4.0039999999999996</v>
      </c>
      <c r="Q56" s="88" t="str" cm="1">
        <f t="array" ref="Q56">_xlfn.IFS(P56&gt;4,"Excelent",AND(P56&gt;3,P56&lt;=4),"Very Good",AND(P56&gt;2,P56&lt;=3),"Good",AND(P56&gt;1,P56&lt;=2),"Fair")</f>
        <v>Excelent</v>
      </c>
      <c r="R56" s="63">
        <f t="shared" si="4"/>
        <v>0.71499999999999997</v>
      </c>
    </row>
    <row r="57" spans="1:19" s="75" customFormat="1" ht="11.25" customHeight="1" x14ac:dyDescent="0.25">
      <c r="A57" s="75" t="str">
        <f t="shared" si="1"/>
        <v>2023</v>
      </c>
      <c r="B57" s="75" t="str">
        <f t="shared" si="5"/>
        <v>23 Sum</v>
      </c>
      <c r="C57" s="76" t="s">
        <v>142</v>
      </c>
      <c r="D57" s="76" t="s">
        <v>103</v>
      </c>
      <c r="E57" s="76" t="str">
        <f t="shared" si="2"/>
        <v>HSA 6717
Adv Hlth Mgt Res Sem 2023</v>
      </c>
      <c r="F57" s="85" t="s">
        <v>144</v>
      </c>
      <c r="G57" s="78">
        <v>18</v>
      </c>
      <c r="H57" s="79">
        <v>7</v>
      </c>
      <c r="I57" s="80" t="s">
        <v>111</v>
      </c>
      <c r="J57" s="81" t="s">
        <v>97</v>
      </c>
      <c r="K57" s="82">
        <v>0.28599999999999998</v>
      </c>
      <c r="L57" s="82">
        <v>0</v>
      </c>
      <c r="M57" s="82">
        <v>0.14299999999999999</v>
      </c>
      <c r="N57" s="82">
        <v>0.57099999999999995</v>
      </c>
      <c r="O57" s="82">
        <v>0</v>
      </c>
      <c r="P57" s="83">
        <f t="shared" si="3"/>
        <v>3.0009999999999999</v>
      </c>
      <c r="Q57" s="88" t="str" cm="1">
        <f t="array" ref="Q57">_xlfn.IFS(P57&gt;4,"Excelent",AND(P57&gt;3,P57&lt;=4),"Very Good",AND(P57&gt;2,P57&lt;=3),"Good",AND(P57&gt;1,P57&lt;=2),"Fair")</f>
        <v>Very Good</v>
      </c>
      <c r="R57" s="84">
        <f t="shared" si="4"/>
        <v>0.28599999999999998</v>
      </c>
      <c r="S57" s="75">
        <f>AVERAGE(P42:P57)</f>
        <v>2.7059374999999997</v>
      </c>
    </row>
    <row r="58" spans="1:19" ht="11.25" customHeight="1" x14ac:dyDescent="0.2">
      <c r="A58" s="48" t="str">
        <f t="shared" si="1"/>
        <v>2023</v>
      </c>
      <c r="B58" s="48" t="str">
        <f t="shared" si="5"/>
        <v>23 Spr</v>
      </c>
      <c r="C58" s="55" t="s">
        <v>145</v>
      </c>
      <c r="D58" s="56" t="s">
        <v>163</v>
      </c>
      <c r="E58" s="56" t="str">
        <f t="shared" si="2"/>
        <v>HSA 6717
Adv Hlth Mgt Res Sem 2023</v>
      </c>
      <c r="F58" s="57" t="s">
        <v>146</v>
      </c>
      <c r="G58" s="58">
        <v>9</v>
      </c>
      <c r="H58" s="59">
        <v>3</v>
      </c>
      <c r="I58" s="60" t="s">
        <v>109</v>
      </c>
      <c r="J58" s="61" t="s">
        <v>90</v>
      </c>
      <c r="K58" s="62">
        <v>0.66700000000000004</v>
      </c>
      <c r="L58" s="62">
        <v>0</v>
      </c>
      <c r="M58" s="62">
        <v>0.33300000000000002</v>
      </c>
      <c r="N58" s="62">
        <v>0</v>
      </c>
      <c r="O58" s="62">
        <v>0</v>
      </c>
      <c r="P58" s="72">
        <f t="shared" si="3"/>
        <v>4.3339999999999996</v>
      </c>
      <c r="Q58" s="88" t="str" cm="1">
        <f t="array" ref="Q58">_xlfn.IFS(P58&gt;4,"Excelent",AND(P58&gt;3,P58&lt;=4),"Very Good",AND(P58&gt;2,P58&lt;=3),"Good",AND(P58&gt;1,P58&lt;=2),"Fair")</f>
        <v>Excelent</v>
      </c>
      <c r="R58" s="63">
        <f t="shared" si="4"/>
        <v>0.66700000000000004</v>
      </c>
    </row>
    <row r="59" spans="1:19" ht="11.25" customHeight="1" x14ac:dyDescent="0.2">
      <c r="A59" s="48" t="str">
        <f t="shared" si="1"/>
        <v>2023</v>
      </c>
      <c r="B59" s="48" t="str">
        <f t="shared" si="5"/>
        <v>23 Spr</v>
      </c>
      <c r="C59" s="55" t="s">
        <v>145</v>
      </c>
      <c r="D59" s="56" t="s">
        <v>163</v>
      </c>
      <c r="E59" s="56" t="str">
        <f t="shared" si="2"/>
        <v>HSA 6717
Adv Hlth Mgt Res Sem 2023</v>
      </c>
      <c r="F59" s="57" t="s">
        <v>146</v>
      </c>
      <c r="G59" s="58">
        <v>9</v>
      </c>
      <c r="H59" s="59">
        <v>3</v>
      </c>
      <c r="I59" s="60" t="s">
        <v>109</v>
      </c>
      <c r="J59" s="61" t="s">
        <v>91</v>
      </c>
      <c r="K59" s="62">
        <v>0.33300000000000002</v>
      </c>
      <c r="L59" s="62">
        <v>0.33300000000000002</v>
      </c>
      <c r="M59" s="62">
        <v>0.33300000000000002</v>
      </c>
      <c r="N59" s="62">
        <v>0</v>
      </c>
      <c r="O59" s="62">
        <v>0</v>
      </c>
      <c r="P59" s="72">
        <f t="shared" si="3"/>
        <v>3.996</v>
      </c>
      <c r="Q59" s="88" t="str" cm="1">
        <f t="array" ref="Q59">_xlfn.IFS(P59&gt;4,"Excelent",AND(P59&gt;3,P59&lt;=4),"Very Good",AND(P59&gt;2,P59&lt;=3),"Good",AND(P59&gt;1,P59&lt;=2),"Fair")</f>
        <v>Very Good</v>
      </c>
      <c r="R59" s="63">
        <f t="shared" si="4"/>
        <v>0.66600000000000004</v>
      </c>
    </row>
    <row r="60" spans="1:19" ht="11.25" customHeight="1" x14ac:dyDescent="0.2">
      <c r="A60" s="48" t="str">
        <f t="shared" si="1"/>
        <v>2023</v>
      </c>
      <c r="B60" s="48" t="str">
        <f t="shared" si="5"/>
        <v>23 Spr</v>
      </c>
      <c r="C60" s="55" t="s">
        <v>145</v>
      </c>
      <c r="D60" s="56" t="s">
        <v>163</v>
      </c>
      <c r="E60" s="56" t="str">
        <f t="shared" si="2"/>
        <v>HSA 6717
Adv Hlth Mgt Res Sem 2023</v>
      </c>
      <c r="F60" s="57" t="s">
        <v>146</v>
      </c>
      <c r="G60" s="58">
        <v>9</v>
      </c>
      <c r="H60" s="59">
        <v>3</v>
      </c>
      <c r="I60" s="60" t="s">
        <v>109</v>
      </c>
      <c r="J60" s="61" t="s">
        <v>92</v>
      </c>
      <c r="K60" s="62">
        <v>0.33300000000000002</v>
      </c>
      <c r="L60" s="62">
        <v>0.33300000000000002</v>
      </c>
      <c r="M60" s="62">
        <v>0.33300000000000002</v>
      </c>
      <c r="N60" s="62">
        <v>0</v>
      </c>
      <c r="O60" s="62">
        <v>0</v>
      </c>
      <c r="P60" s="72">
        <f t="shared" si="3"/>
        <v>3.996</v>
      </c>
      <c r="Q60" s="88" t="str" cm="1">
        <f t="array" ref="Q60">_xlfn.IFS(P60&gt;4,"Excelent",AND(P60&gt;3,P60&lt;=4),"Very Good",AND(P60&gt;2,P60&lt;=3),"Good",AND(P60&gt;1,P60&lt;=2),"Fair")</f>
        <v>Very Good</v>
      </c>
      <c r="R60" s="63">
        <f t="shared" si="4"/>
        <v>0.66600000000000004</v>
      </c>
    </row>
    <row r="61" spans="1:19" ht="11.25" customHeight="1" x14ac:dyDescent="0.2">
      <c r="A61" s="48" t="str">
        <f t="shared" si="1"/>
        <v>2023</v>
      </c>
      <c r="B61" s="48" t="str">
        <f t="shared" si="5"/>
        <v>23 Spr</v>
      </c>
      <c r="C61" s="55" t="s">
        <v>145</v>
      </c>
      <c r="D61" s="56" t="s">
        <v>163</v>
      </c>
      <c r="E61" s="56" t="str">
        <f t="shared" si="2"/>
        <v>HSA 6717
Adv Hlth Mgt Res Sem 2023</v>
      </c>
      <c r="F61" s="57" t="s">
        <v>146</v>
      </c>
      <c r="G61" s="58">
        <v>9</v>
      </c>
      <c r="H61" s="59">
        <v>3</v>
      </c>
      <c r="I61" s="60" t="s">
        <v>109</v>
      </c>
      <c r="J61" s="61" t="s">
        <v>93</v>
      </c>
      <c r="K61" s="62">
        <v>0</v>
      </c>
      <c r="L61" s="62">
        <v>0.33300000000000002</v>
      </c>
      <c r="M61" s="62">
        <v>0.66700000000000004</v>
      </c>
      <c r="N61" s="62">
        <v>0</v>
      </c>
      <c r="O61" s="62">
        <v>0</v>
      </c>
      <c r="P61" s="72">
        <f t="shared" si="3"/>
        <v>3.3330000000000002</v>
      </c>
      <c r="Q61" s="88" t="str" cm="1">
        <f t="array" ref="Q61">_xlfn.IFS(P61&gt;4,"Excelent",AND(P61&gt;3,P61&lt;=4),"Very Good",AND(P61&gt;2,P61&lt;=3),"Good",AND(P61&gt;1,P61&lt;=2),"Fair")</f>
        <v>Very Good</v>
      </c>
      <c r="R61" s="63">
        <f t="shared" si="4"/>
        <v>0.33300000000000002</v>
      </c>
    </row>
    <row r="62" spans="1:19" ht="11.25" customHeight="1" x14ac:dyDescent="0.2">
      <c r="A62" s="48" t="str">
        <f t="shared" si="1"/>
        <v>2023</v>
      </c>
      <c r="B62" s="48" t="str">
        <f t="shared" si="5"/>
        <v>23 Spr</v>
      </c>
      <c r="C62" s="55" t="s">
        <v>145</v>
      </c>
      <c r="D62" s="56" t="s">
        <v>163</v>
      </c>
      <c r="E62" s="56" t="str">
        <f t="shared" si="2"/>
        <v>HSA 6717
Adv Hlth Mgt Res Sem 2023</v>
      </c>
      <c r="F62" s="57" t="s">
        <v>146</v>
      </c>
      <c r="G62" s="58">
        <v>9</v>
      </c>
      <c r="H62" s="59">
        <v>3</v>
      </c>
      <c r="I62" s="60" t="s">
        <v>109</v>
      </c>
      <c r="J62" s="61" t="s">
        <v>94</v>
      </c>
      <c r="K62" s="62">
        <v>0.33300000000000002</v>
      </c>
      <c r="L62" s="62">
        <v>0.33300000000000002</v>
      </c>
      <c r="M62" s="62">
        <v>0.33300000000000002</v>
      </c>
      <c r="N62" s="62">
        <v>0</v>
      </c>
      <c r="O62" s="62">
        <v>0</v>
      </c>
      <c r="P62" s="72">
        <f t="shared" si="3"/>
        <v>3.996</v>
      </c>
      <c r="Q62" s="88" t="str" cm="1">
        <f t="array" ref="Q62">_xlfn.IFS(P62&gt;4,"Excelent",AND(P62&gt;3,P62&lt;=4),"Very Good",AND(P62&gt;2,P62&lt;=3),"Good",AND(P62&gt;1,P62&lt;=2),"Fair")</f>
        <v>Very Good</v>
      </c>
      <c r="R62" s="63">
        <f t="shared" si="4"/>
        <v>0.66600000000000004</v>
      </c>
    </row>
    <row r="63" spans="1:19" ht="11.25" customHeight="1" x14ac:dyDescent="0.2">
      <c r="A63" s="48" t="str">
        <f t="shared" si="1"/>
        <v>2023</v>
      </c>
      <c r="B63" s="48" t="str">
        <f t="shared" si="5"/>
        <v>23 Spr</v>
      </c>
      <c r="C63" s="55" t="s">
        <v>145</v>
      </c>
      <c r="D63" s="56" t="s">
        <v>163</v>
      </c>
      <c r="E63" s="56" t="str">
        <f t="shared" si="2"/>
        <v>HSA 6717
Adv Hlth Mgt Res Sem 2023</v>
      </c>
      <c r="F63" s="57" t="s">
        <v>146</v>
      </c>
      <c r="G63" s="58">
        <v>9</v>
      </c>
      <c r="H63" s="59">
        <v>3</v>
      </c>
      <c r="I63" s="60" t="s">
        <v>109</v>
      </c>
      <c r="J63" s="61" t="s">
        <v>95</v>
      </c>
      <c r="K63" s="62">
        <v>0.33300000000000002</v>
      </c>
      <c r="L63" s="62">
        <v>0</v>
      </c>
      <c r="M63" s="62">
        <v>0</v>
      </c>
      <c r="N63" s="62">
        <v>0.66700000000000004</v>
      </c>
      <c r="O63" s="62">
        <v>0</v>
      </c>
      <c r="P63" s="72">
        <f t="shared" si="3"/>
        <v>2.9990000000000001</v>
      </c>
      <c r="Q63" s="88" t="str" cm="1">
        <f t="array" ref="Q63">_xlfn.IFS(P63&gt;4,"Excelent",AND(P63&gt;3,P63&lt;=4),"Very Good",AND(P63&gt;2,P63&lt;=3),"Good",AND(P63&gt;1,P63&lt;=2),"Fair")</f>
        <v>Good</v>
      </c>
      <c r="R63" s="63">
        <f t="shared" si="4"/>
        <v>0.33300000000000002</v>
      </c>
    </row>
    <row r="64" spans="1:19" ht="11.25" customHeight="1" x14ac:dyDescent="0.2">
      <c r="A64" s="48" t="str">
        <f t="shared" si="1"/>
        <v>2023</v>
      </c>
      <c r="B64" s="48" t="str">
        <f t="shared" si="5"/>
        <v>23 Spr</v>
      </c>
      <c r="C64" s="55" t="s">
        <v>145</v>
      </c>
      <c r="D64" s="56" t="s">
        <v>163</v>
      </c>
      <c r="E64" s="56" t="str">
        <f t="shared" si="2"/>
        <v>HSA 6717
Adv Hlth Mgt Res Sem 2023</v>
      </c>
      <c r="F64" s="57" t="s">
        <v>146</v>
      </c>
      <c r="G64" s="58">
        <v>9</v>
      </c>
      <c r="H64" s="59">
        <v>3</v>
      </c>
      <c r="I64" s="60" t="s">
        <v>109</v>
      </c>
      <c r="J64" s="61" t="s">
        <v>96</v>
      </c>
      <c r="K64" s="62">
        <v>0.66700000000000004</v>
      </c>
      <c r="L64" s="62">
        <v>0</v>
      </c>
      <c r="M64" s="62">
        <v>0.33300000000000002</v>
      </c>
      <c r="N64" s="62">
        <v>0</v>
      </c>
      <c r="O64" s="62">
        <v>0</v>
      </c>
      <c r="P64" s="72">
        <f t="shared" si="3"/>
        <v>4.3339999999999996</v>
      </c>
      <c r="Q64" s="88" t="str" cm="1">
        <f t="array" ref="Q64">_xlfn.IFS(P64&gt;4,"Excelent",AND(P64&gt;3,P64&lt;=4),"Very Good",AND(P64&gt;2,P64&lt;=3),"Good",AND(P64&gt;1,P64&lt;=2),"Fair")</f>
        <v>Excelent</v>
      </c>
      <c r="R64" s="63">
        <f t="shared" si="4"/>
        <v>0.66700000000000004</v>
      </c>
    </row>
    <row r="65" spans="1:19" s="75" customFormat="1" ht="11.25" customHeight="1" x14ac:dyDescent="0.25">
      <c r="A65" s="75" t="str">
        <f t="shared" si="1"/>
        <v>2023</v>
      </c>
      <c r="B65" s="75" t="str">
        <f t="shared" si="5"/>
        <v>23 Spr</v>
      </c>
      <c r="C65" s="76" t="s">
        <v>145</v>
      </c>
      <c r="D65" s="76" t="s">
        <v>103</v>
      </c>
      <c r="E65" s="76" t="str">
        <f t="shared" si="2"/>
        <v>HSA 6717
Adv Hlth Mgt Res Sem 2023</v>
      </c>
      <c r="F65" s="77" t="s">
        <v>146</v>
      </c>
      <c r="G65" s="78">
        <v>9</v>
      </c>
      <c r="H65" s="79">
        <v>3</v>
      </c>
      <c r="I65" s="80" t="s">
        <v>109</v>
      </c>
      <c r="J65" s="81" t="s">
        <v>97</v>
      </c>
      <c r="K65" s="82">
        <v>0.33300000000000002</v>
      </c>
      <c r="L65" s="82">
        <v>0.33300000000000002</v>
      </c>
      <c r="M65" s="82">
        <v>0.33300000000000002</v>
      </c>
      <c r="N65" s="82">
        <v>0</v>
      </c>
      <c r="O65" s="82">
        <v>0</v>
      </c>
      <c r="P65" s="83">
        <f t="shared" si="3"/>
        <v>3.996</v>
      </c>
      <c r="Q65" s="88" t="str" cm="1">
        <f t="array" ref="Q65">_xlfn.IFS(P65&gt;4,"Excelent",AND(P65&gt;3,P65&lt;=4),"Very Good",AND(P65&gt;2,P65&lt;=3),"Good",AND(P65&gt;1,P65&lt;=2),"Fair")</f>
        <v>Very Good</v>
      </c>
      <c r="R65" s="84">
        <f t="shared" si="4"/>
        <v>0.66600000000000004</v>
      </c>
      <c r="S65" s="75">
        <f t="shared" ref="S65:S73" si="6">AVERAGE(P58:P65)</f>
        <v>3.8729999999999998</v>
      </c>
    </row>
    <row r="66" spans="1:19" ht="11.25" customHeight="1" x14ac:dyDescent="0.2">
      <c r="A66" s="48" t="str">
        <f t="shared" si="1"/>
        <v>2022</v>
      </c>
      <c r="B66" s="48" t="str">
        <f t="shared" si="5"/>
        <v>22 Fal</v>
      </c>
      <c r="C66" s="55" t="s">
        <v>134</v>
      </c>
      <c r="D66" s="56" t="s">
        <v>163</v>
      </c>
      <c r="E66" s="56" t="str">
        <f t="shared" si="2"/>
        <v>HSA 6717
Adv Hlth Mgt Res Sem 2022</v>
      </c>
      <c r="F66" s="57" t="s">
        <v>116</v>
      </c>
      <c r="G66" s="58">
        <v>13</v>
      </c>
      <c r="H66" s="59">
        <v>10</v>
      </c>
      <c r="I66" s="60" t="s">
        <v>110</v>
      </c>
      <c r="J66" s="61" t="s">
        <v>90</v>
      </c>
      <c r="K66" s="62">
        <v>0.5</v>
      </c>
      <c r="L66" s="62">
        <v>0.3</v>
      </c>
      <c r="M66" s="62">
        <v>0.1</v>
      </c>
      <c r="N66" s="62">
        <v>0.1</v>
      </c>
      <c r="O66" s="62">
        <v>0</v>
      </c>
      <c r="P66" s="72">
        <f t="shared" si="3"/>
        <v>4.2</v>
      </c>
      <c r="Q66" s="88" t="str" cm="1">
        <f t="array" ref="Q66">_xlfn.IFS(P66&gt;4,"Excelent",AND(P66&gt;3,P66&lt;=4),"Very Good",AND(P66&gt;2,P66&lt;=3),"Good",AND(P66&gt;1,P66&lt;=2),"Fair")</f>
        <v>Excelent</v>
      </c>
      <c r="R66" s="63">
        <f t="shared" si="4"/>
        <v>0.8</v>
      </c>
    </row>
    <row r="67" spans="1:19" ht="11.25" customHeight="1" x14ac:dyDescent="0.2">
      <c r="A67" s="48" t="str">
        <f t="shared" ref="A67:A130" si="7">RIGHT(C67,4)</f>
        <v>2022</v>
      </c>
      <c r="B67" s="48" t="str">
        <f t="shared" si="5"/>
        <v>22 Fal</v>
      </c>
      <c r="C67" s="55" t="s">
        <v>134</v>
      </c>
      <c r="D67" s="56" t="s">
        <v>163</v>
      </c>
      <c r="E67" s="56" t="str">
        <f t="shared" ref="E67:E130" si="8">_xlfn.CONCAT(D68, " ", A67)</f>
        <v>HSA 6717
Adv Hlth Mgt Res Sem 2022</v>
      </c>
      <c r="F67" s="57" t="s">
        <v>116</v>
      </c>
      <c r="G67" s="58">
        <v>13</v>
      </c>
      <c r="H67" s="59">
        <v>10</v>
      </c>
      <c r="I67" s="60" t="s">
        <v>110</v>
      </c>
      <c r="J67" s="61" t="s">
        <v>91</v>
      </c>
      <c r="K67" s="62">
        <v>0.8</v>
      </c>
      <c r="L67" s="62">
        <v>0.1</v>
      </c>
      <c r="M67" s="62">
        <v>0</v>
      </c>
      <c r="N67" s="62">
        <v>0.1</v>
      </c>
      <c r="O67" s="62">
        <v>0</v>
      </c>
      <c r="P67" s="72">
        <f t="shared" ref="P67:P130" si="9">(5*K67)+(4*L67)+(3*M67)+(2*N67)+O67</f>
        <v>4.6000000000000005</v>
      </c>
      <c r="Q67" s="88" t="str" cm="1">
        <f t="array" ref="Q67">_xlfn.IFS(P67&gt;4,"Excelent",AND(P67&gt;3,P67&lt;=4),"Very Good",AND(P67&gt;2,P67&lt;=3),"Good",AND(P67&gt;1,P67&lt;=2),"Fair")</f>
        <v>Excelent</v>
      </c>
      <c r="R67" s="63">
        <f t="shared" ref="R67:R130" si="10">K67+L67</f>
        <v>0.9</v>
      </c>
    </row>
    <row r="68" spans="1:19" ht="11.25" customHeight="1" x14ac:dyDescent="0.2">
      <c r="A68" s="48" t="str">
        <f t="shared" si="7"/>
        <v>2022</v>
      </c>
      <c r="B68" s="48" t="str">
        <f t="shared" si="5"/>
        <v>22 Fal</v>
      </c>
      <c r="C68" s="55" t="s">
        <v>134</v>
      </c>
      <c r="D68" s="56" t="s">
        <v>163</v>
      </c>
      <c r="E68" s="56" t="str">
        <f t="shared" si="8"/>
        <v>HSA 6717
Adv Hlth Mgt Res Sem 2022</v>
      </c>
      <c r="F68" s="57" t="s">
        <v>116</v>
      </c>
      <c r="G68" s="58">
        <v>13</v>
      </c>
      <c r="H68" s="59">
        <v>10</v>
      </c>
      <c r="I68" s="60" t="s">
        <v>110</v>
      </c>
      <c r="J68" s="61" t="s">
        <v>92</v>
      </c>
      <c r="K68" s="62">
        <v>0.6</v>
      </c>
      <c r="L68" s="62">
        <v>0.1</v>
      </c>
      <c r="M68" s="62">
        <v>0.2</v>
      </c>
      <c r="N68" s="62">
        <v>0.1</v>
      </c>
      <c r="O68" s="62">
        <v>0</v>
      </c>
      <c r="P68" s="72">
        <f t="shared" si="9"/>
        <v>4.2</v>
      </c>
      <c r="Q68" s="88" t="str" cm="1">
        <f t="array" ref="Q68">_xlfn.IFS(P68&gt;4,"Excelent",AND(P68&gt;3,P68&lt;=4),"Very Good",AND(P68&gt;2,P68&lt;=3),"Good",AND(P68&gt;1,P68&lt;=2),"Fair")</f>
        <v>Excelent</v>
      </c>
      <c r="R68" s="63">
        <f t="shared" si="10"/>
        <v>0.7</v>
      </c>
    </row>
    <row r="69" spans="1:19" ht="11.25" customHeight="1" x14ac:dyDescent="0.2">
      <c r="A69" s="48" t="str">
        <f t="shared" si="7"/>
        <v>2022</v>
      </c>
      <c r="B69" s="48" t="str">
        <f t="shared" si="5"/>
        <v>22 Fal</v>
      </c>
      <c r="C69" s="55" t="s">
        <v>134</v>
      </c>
      <c r="D69" s="56" t="s">
        <v>163</v>
      </c>
      <c r="E69" s="56" t="str">
        <f t="shared" si="8"/>
        <v>HSA 6717
Adv Hlth Mgt Res Sem 2022</v>
      </c>
      <c r="F69" s="57" t="s">
        <v>116</v>
      </c>
      <c r="G69" s="58">
        <v>13</v>
      </c>
      <c r="H69" s="59">
        <v>10</v>
      </c>
      <c r="I69" s="60" t="s">
        <v>110</v>
      </c>
      <c r="J69" s="61" t="s">
        <v>93</v>
      </c>
      <c r="K69" s="62">
        <v>0.6</v>
      </c>
      <c r="L69" s="62">
        <v>0.2</v>
      </c>
      <c r="M69" s="62">
        <v>0.1</v>
      </c>
      <c r="N69" s="62">
        <v>0.1</v>
      </c>
      <c r="O69" s="62">
        <v>0</v>
      </c>
      <c r="P69" s="72">
        <f t="shared" si="9"/>
        <v>4.3</v>
      </c>
      <c r="Q69" s="88" t="str" cm="1">
        <f t="array" ref="Q69">_xlfn.IFS(P69&gt;4,"Excelent",AND(P69&gt;3,P69&lt;=4),"Very Good",AND(P69&gt;2,P69&lt;=3),"Good",AND(P69&gt;1,P69&lt;=2),"Fair")</f>
        <v>Excelent</v>
      </c>
      <c r="R69" s="63">
        <f t="shared" si="10"/>
        <v>0.8</v>
      </c>
    </row>
    <row r="70" spans="1:19" ht="11.25" customHeight="1" x14ac:dyDescent="0.2">
      <c r="A70" s="48" t="str">
        <f t="shared" si="7"/>
        <v>2022</v>
      </c>
      <c r="B70" s="48" t="str">
        <f t="shared" si="5"/>
        <v>22 Fal</v>
      </c>
      <c r="C70" s="55" t="s">
        <v>134</v>
      </c>
      <c r="D70" s="56" t="s">
        <v>163</v>
      </c>
      <c r="E70" s="56" t="str">
        <f t="shared" si="8"/>
        <v>HSA 6717
Adv Hlth Mgt Res Sem 2022</v>
      </c>
      <c r="F70" s="57" t="s">
        <v>116</v>
      </c>
      <c r="G70" s="58">
        <v>13</v>
      </c>
      <c r="H70" s="59">
        <v>10</v>
      </c>
      <c r="I70" s="60" t="s">
        <v>110</v>
      </c>
      <c r="J70" s="61" t="s">
        <v>94</v>
      </c>
      <c r="K70" s="62">
        <v>0.8</v>
      </c>
      <c r="L70" s="62">
        <v>0</v>
      </c>
      <c r="M70" s="62">
        <v>0.1</v>
      </c>
      <c r="N70" s="62">
        <v>0.1</v>
      </c>
      <c r="O70" s="62">
        <v>0</v>
      </c>
      <c r="P70" s="72">
        <f t="shared" si="9"/>
        <v>4.5</v>
      </c>
      <c r="Q70" s="88" t="str" cm="1">
        <f t="array" ref="Q70">_xlfn.IFS(P70&gt;4,"Excelent",AND(P70&gt;3,P70&lt;=4),"Very Good",AND(P70&gt;2,P70&lt;=3),"Good",AND(P70&gt;1,P70&lt;=2),"Fair")</f>
        <v>Excelent</v>
      </c>
      <c r="R70" s="63">
        <f t="shared" si="10"/>
        <v>0.8</v>
      </c>
    </row>
    <row r="71" spans="1:19" ht="11.25" customHeight="1" x14ac:dyDescent="0.2">
      <c r="A71" s="48" t="str">
        <f t="shared" si="7"/>
        <v>2022</v>
      </c>
      <c r="B71" s="48" t="str">
        <f t="shared" si="5"/>
        <v>22 Fal</v>
      </c>
      <c r="C71" s="55" t="s">
        <v>134</v>
      </c>
      <c r="D71" s="56" t="s">
        <v>163</v>
      </c>
      <c r="E71" s="56" t="str">
        <f t="shared" si="8"/>
        <v>HSA 6717
Adv Hlth Mgt Res Sem 2022</v>
      </c>
      <c r="F71" s="57" t="s">
        <v>116</v>
      </c>
      <c r="G71" s="58">
        <v>13</v>
      </c>
      <c r="H71" s="59">
        <v>10</v>
      </c>
      <c r="I71" s="60" t="s">
        <v>110</v>
      </c>
      <c r="J71" s="61" t="s">
        <v>95</v>
      </c>
      <c r="K71" s="62">
        <v>0.6</v>
      </c>
      <c r="L71" s="62">
        <v>0.2</v>
      </c>
      <c r="M71" s="62">
        <v>0</v>
      </c>
      <c r="N71" s="62">
        <v>0.2</v>
      </c>
      <c r="O71" s="62">
        <v>0</v>
      </c>
      <c r="P71" s="72">
        <f t="shared" si="9"/>
        <v>4.2</v>
      </c>
      <c r="Q71" s="88" t="str" cm="1">
        <f t="array" ref="Q71">_xlfn.IFS(P71&gt;4,"Excelent",AND(P71&gt;3,P71&lt;=4),"Very Good",AND(P71&gt;2,P71&lt;=3),"Good",AND(P71&gt;1,P71&lt;=2),"Fair")</f>
        <v>Excelent</v>
      </c>
      <c r="R71" s="63">
        <f t="shared" si="10"/>
        <v>0.8</v>
      </c>
    </row>
    <row r="72" spans="1:19" ht="11.25" customHeight="1" x14ac:dyDescent="0.2">
      <c r="A72" s="48" t="str">
        <f t="shared" si="7"/>
        <v>2022</v>
      </c>
      <c r="B72" s="48" t="str">
        <f t="shared" si="5"/>
        <v>22 Fal</v>
      </c>
      <c r="C72" s="55" t="s">
        <v>134</v>
      </c>
      <c r="D72" s="56" t="s">
        <v>163</v>
      </c>
      <c r="E72" s="56" t="str">
        <f t="shared" si="8"/>
        <v>HSA 6717
Adv Hlth Mgt Res Sem 2022</v>
      </c>
      <c r="F72" s="57" t="s">
        <v>116</v>
      </c>
      <c r="G72" s="58">
        <v>13</v>
      </c>
      <c r="H72" s="59">
        <v>10</v>
      </c>
      <c r="I72" s="60" t="s">
        <v>110</v>
      </c>
      <c r="J72" s="61" t="s">
        <v>96</v>
      </c>
      <c r="K72" s="62">
        <v>0.8</v>
      </c>
      <c r="L72" s="62">
        <v>0</v>
      </c>
      <c r="M72" s="62">
        <v>0.1</v>
      </c>
      <c r="N72" s="62">
        <v>0.1</v>
      </c>
      <c r="O72" s="62">
        <v>0</v>
      </c>
      <c r="P72" s="72">
        <f t="shared" si="9"/>
        <v>4.5</v>
      </c>
      <c r="Q72" s="88" t="str" cm="1">
        <f t="array" ref="Q72">_xlfn.IFS(P72&gt;4,"Excelent",AND(P72&gt;3,P72&lt;=4),"Very Good",AND(P72&gt;2,P72&lt;=3),"Good",AND(P72&gt;1,P72&lt;=2),"Fair")</f>
        <v>Excelent</v>
      </c>
      <c r="R72" s="63">
        <f t="shared" si="10"/>
        <v>0.8</v>
      </c>
    </row>
    <row r="73" spans="1:19" s="75" customFormat="1" ht="11.25" customHeight="1" x14ac:dyDescent="0.25">
      <c r="A73" s="75" t="str">
        <f t="shared" si="7"/>
        <v>2022</v>
      </c>
      <c r="B73" s="75" t="str">
        <f t="shared" si="5"/>
        <v>22 Fal</v>
      </c>
      <c r="C73" s="76" t="s">
        <v>134</v>
      </c>
      <c r="D73" s="76" t="s">
        <v>103</v>
      </c>
      <c r="E73" s="76" t="str">
        <f t="shared" si="8"/>
        <v>HSA 6717
Adv Hlth Mgt Res Sem 2022</v>
      </c>
      <c r="F73" s="77" t="s">
        <v>116</v>
      </c>
      <c r="G73" s="78">
        <v>13</v>
      </c>
      <c r="H73" s="79">
        <v>10</v>
      </c>
      <c r="I73" s="80" t="s">
        <v>110</v>
      </c>
      <c r="J73" s="81" t="s">
        <v>97</v>
      </c>
      <c r="K73" s="82">
        <v>0.8</v>
      </c>
      <c r="L73" s="82">
        <v>0.1</v>
      </c>
      <c r="M73" s="82">
        <v>0</v>
      </c>
      <c r="N73" s="82">
        <v>0.1</v>
      </c>
      <c r="O73" s="82">
        <v>0</v>
      </c>
      <c r="P73" s="83">
        <f t="shared" si="9"/>
        <v>4.6000000000000005</v>
      </c>
      <c r="Q73" s="88" t="str" cm="1">
        <f t="array" ref="Q73">_xlfn.IFS(P73&gt;4,"Excelent",AND(P73&gt;3,P73&lt;=4),"Very Good",AND(P73&gt;2,P73&lt;=3),"Good",AND(P73&gt;1,P73&lt;=2),"Fair")</f>
        <v>Excelent</v>
      </c>
      <c r="R73" s="84">
        <f t="shared" si="10"/>
        <v>0.9</v>
      </c>
      <c r="S73" s="75">
        <f t="shared" si="6"/>
        <v>4.3875000000000002</v>
      </c>
    </row>
    <row r="74" spans="1:19" ht="11.25" customHeight="1" x14ac:dyDescent="0.2">
      <c r="A74" s="48" t="str">
        <f t="shared" si="7"/>
        <v>2022</v>
      </c>
      <c r="B74" s="48" t="str">
        <f t="shared" si="5"/>
        <v>22 Sum</v>
      </c>
      <c r="C74" s="55" t="s">
        <v>147</v>
      </c>
      <c r="D74" s="56" t="s">
        <v>163</v>
      </c>
      <c r="E74" s="56" t="str">
        <f t="shared" si="8"/>
        <v>HSA 6717
Adv Hlth Mgt Res Sem 2022</v>
      </c>
      <c r="F74" s="57" t="s">
        <v>148</v>
      </c>
      <c r="G74" s="58">
        <v>32</v>
      </c>
      <c r="H74" s="59">
        <v>15</v>
      </c>
      <c r="I74" s="60" t="s">
        <v>111</v>
      </c>
      <c r="J74" s="61" t="s">
        <v>90</v>
      </c>
      <c r="K74" s="62">
        <v>0.26700000000000002</v>
      </c>
      <c r="L74" s="62">
        <v>0</v>
      </c>
      <c r="M74" s="62">
        <v>0.26700000000000002</v>
      </c>
      <c r="N74" s="62">
        <v>0.2</v>
      </c>
      <c r="O74" s="62">
        <v>0.2</v>
      </c>
      <c r="P74" s="72">
        <f t="shared" si="9"/>
        <v>2.7360000000000002</v>
      </c>
      <c r="Q74" s="88" t="str" cm="1">
        <f t="array" ref="Q74">_xlfn.IFS(P74&gt;4,"Excelent",AND(P74&gt;3,P74&lt;=4),"Very Good",AND(P74&gt;2,P74&lt;=3),"Good",AND(P74&gt;1,P74&lt;=2),"Fair")</f>
        <v>Good</v>
      </c>
      <c r="R74" s="63">
        <f t="shared" si="10"/>
        <v>0.26700000000000002</v>
      </c>
    </row>
    <row r="75" spans="1:19" ht="11.25" customHeight="1" x14ac:dyDescent="0.2">
      <c r="A75" s="48" t="str">
        <f t="shared" si="7"/>
        <v>2022</v>
      </c>
      <c r="B75" s="48" t="str">
        <f t="shared" si="5"/>
        <v>22 Sum</v>
      </c>
      <c r="C75" s="55" t="s">
        <v>147</v>
      </c>
      <c r="D75" s="56" t="s">
        <v>163</v>
      </c>
      <c r="E75" s="56" t="str">
        <f t="shared" si="8"/>
        <v>HSA 6717
Adv Hlth Mgt Res Sem 2022</v>
      </c>
      <c r="F75" s="57" t="s">
        <v>148</v>
      </c>
      <c r="G75" s="58">
        <v>32</v>
      </c>
      <c r="H75" s="59">
        <v>15</v>
      </c>
      <c r="I75" s="60" t="s">
        <v>111</v>
      </c>
      <c r="J75" s="61" t="s">
        <v>91</v>
      </c>
      <c r="K75" s="62">
        <v>0.26700000000000002</v>
      </c>
      <c r="L75" s="62">
        <v>0</v>
      </c>
      <c r="M75" s="62">
        <v>0.2</v>
      </c>
      <c r="N75" s="62">
        <v>0.2</v>
      </c>
      <c r="O75" s="62">
        <v>0.26700000000000002</v>
      </c>
      <c r="P75" s="72">
        <f t="shared" si="9"/>
        <v>2.6019999999999999</v>
      </c>
      <c r="Q75" s="88" t="str" cm="1">
        <f t="array" ref="Q75">_xlfn.IFS(P75&gt;4,"Excelent",AND(P75&gt;3,P75&lt;=4),"Very Good",AND(P75&gt;2,P75&lt;=3),"Good",AND(P75&gt;1,P75&lt;=2),"Fair")</f>
        <v>Good</v>
      </c>
      <c r="R75" s="63">
        <f t="shared" si="10"/>
        <v>0.26700000000000002</v>
      </c>
    </row>
    <row r="76" spans="1:19" ht="11.25" customHeight="1" x14ac:dyDescent="0.2">
      <c r="A76" s="48" t="str">
        <f t="shared" si="7"/>
        <v>2022</v>
      </c>
      <c r="B76" s="48" t="str">
        <f t="shared" si="5"/>
        <v>22 Sum</v>
      </c>
      <c r="C76" s="55" t="s">
        <v>147</v>
      </c>
      <c r="D76" s="56" t="s">
        <v>163</v>
      </c>
      <c r="E76" s="56" t="str">
        <f t="shared" si="8"/>
        <v>HSA 6717
Adv Hlth Mgt Res Sem 2022</v>
      </c>
      <c r="F76" s="57" t="s">
        <v>148</v>
      </c>
      <c r="G76" s="58">
        <v>32</v>
      </c>
      <c r="H76" s="59">
        <v>15</v>
      </c>
      <c r="I76" s="60" t="s">
        <v>111</v>
      </c>
      <c r="J76" s="61" t="s">
        <v>92</v>
      </c>
      <c r="K76" s="62">
        <v>0.26700000000000002</v>
      </c>
      <c r="L76" s="62">
        <v>0</v>
      </c>
      <c r="M76" s="62">
        <v>0.13300000000000001</v>
      </c>
      <c r="N76" s="62">
        <v>0.2</v>
      </c>
      <c r="O76" s="62">
        <v>0.4</v>
      </c>
      <c r="P76" s="72">
        <f t="shared" si="9"/>
        <v>2.5339999999999998</v>
      </c>
      <c r="Q76" s="88" t="str" cm="1">
        <f t="array" ref="Q76">_xlfn.IFS(P76&gt;4,"Excelent",AND(P76&gt;3,P76&lt;=4),"Very Good",AND(P76&gt;2,P76&lt;=3),"Good",AND(P76&gt;1,P76&lt;=2),"Fair")</f>
        <v>Good</v>
      </c>
      <c r="R76" s="63">
        <f t="shared" si="10"/>
        <v>0.26700000000000002</v>
      </c>
    </row>
    <row r="77" spans="1:19" ht="11.25" customHeight="1" x14ac:dyDescent="0.2">
      <c r="A77" s="48" t="str">
        <f t="shared" si="7"/>
        <v>2022</v>
      </c>
      <c r="B77" s="48" t="str">
        <f t="shared" si="5"/>
        <v>22 Sum</v>
      </c>
      <c r="C77" s="55" t="s">
        <v>147</v>
      </c>
      <c r="D77" s="56" t="s">
        <v>163</v>
      </c>
      <c r="E77" s="56" t="str">
        <f t="shared" si="8"/>
        <v>HSA 6717
Adv Hlth Mgt Res Sem 2022</v>
      </c>
      <c r="F77" s="57" t="s">
        <v>148</v>
      </c>
      <c r="G77" s="58">
        <v>32</v>
      </c>
      <c r="H77" s="59">
        <v>15</v>
      </c>
      <c r="I77" s="60" t="s">
        <v>111</v>
      </c>
      <c r="J77" s="61" t="s">
        <v>93</v>
      </c>
      <c r="K77" s="62">
        <v>0.26700000000000002</v>
      </c>
      <c r="L77" s="62">
        <v>0</v>
      </c>
      <c r="M77" s="62">
        <v>0.26700000000000002</v>
      </c>
      <c r="N77" s="62">
        <v>0.2</v>
      </c>
      <c r="O77" s="62">
        <v>0.2</v>
      </c>
      <c r="P77" s="72">
        <f t="shared" si="9"/>
        <v>2.7360000000000002</v>
      </c>
      <c r="Q77" s="88" t="str" cm="1">
        <f t="array" ref="Q77">_xlfn.IFS(P77&gt;4,"Excelent",AND(P77&gt;3,P77&lt;=4),"Very Good",AND(P77&gt;2,P77&lt;=3),"Good",AND(P77&gt;1,P77&lt;=2),"Fair")</f>
        <v>Good</v>
      </c>
      <c r="R77" s="63">
        <f t="shared" si="10"/>
        <v>0.26700000000000002</v>
      </c>
    </row>
    <row r="78" spans="1:19" ht="11.25" customHeight="1" x14ac:dyDescent="0.2">
      <c r="A78" s="48" t="str">
        <f t="shared" si="7"/>
        <v>2022</v>
      </c>
      <c r="B78" s="48" t="str">
        <f t="shared" si="5"/>
        <v>22 Sum</v>
      </c>
      <c r="C78" s="55" t="s">
        <v>147</v>
      </c>
      <c r="D78" s="56" t="s">
        <v>163</v>
      </c>
      <c r="E78" s="56" t="str">
        <f t="shared" si="8"/>
        <v>HSA 6717
Adv Hlth Mgt Res Sem 2022</v>
      </c>
      <c r="F78" s="57" t="s">
        <v>148</v>
      </c>
      <c r="G78" s="58">
        <v>32</v>
      </c>
      <c r="H78" s="59">
        <v>15</v>
      </c>
      <c r="I78" s="60" t="s">
        <v>111</v>
      </c>
      <c r="J78" s="61" t="s">
        <v>94</v>
      </c>
      <c r="K78" s="62">
        <v>0.26700000000000002</v>
      </c>
      <c r="L78" s="62">
        <v>0</v>
      </c>
      <c r="M78" s="62">
        <v>0.2</v>
      </c>
      <c r="N78" s="62">
        <v>0.2</v>
      </c>
      <c r="O78" s="62">
        <v>0.26700000000000002</v>
      </c>
      <c r="P78" s="72">
        <f t="shared" si="9"/>
        <v>2.6019999999999999</v>
      </c>
      <c r="Q78" s="88" t="str" cm="1">
        <f t="array" ref="Q78">_xlfn.IFS(P78&gt;4,"Excelent",AND(P78&gt;3,P78&lt;=4),"Very Good",AND(P78&gt;2,P78&lt;=3),"Good",AND(P78&gt;1,P78&lt;=2),"Fair")</f>
        <v>Good</v>
      </c>
      <c r="R78" s="63">
        <f t="shared" si="10"/>
        <v>0.26700000000000002</v>
      </c>
    </row>
    <row r="79" spans="1:19" ht="11.25" customHeight="1" x14ac:dyDescent="0.2">
      <c r="A79" s="48" t="str">
        <f t="shared" si="7"/>
        <v>2022</v>
      </c>
      <c r="B79" s="48" t="str">
        <f t="shared" si="5"/>
        <v>22 Sum</v>
      </c>
      <c r="C79" s="55" t="s">
        <v>147</v>
      </c>
      <c r="D79" s="56" t="s">
        <v>163</v>
      </c>
      <c r="E79" s="56" t="str">
        <f t="shared" si="8"/>
        <v>HSA 6717
Adv Hlth Mgt Res Sem 2022</v>
      </c>
      <c r="F79" s="57" t="s">
        <v>148</v>
      </c>
      <c r="G79" s="58">
        <v>32</v>
      </c>
      <c r="H79" s="59">
        <v>15</v>
      </c>
      <c r="I79" s="60" t="s">
        <v>111</v>
      </c>
      <c r="J79" s="61" t="s">
        <v>95</v>
      </c>
      <c r="K79" s="62">
        <v>0.2</v>
      </c>
      <c r="L79" s="62">
        <v>0</v>
      </c>
      <c r="M79" s="62">
        <v>0.13300000000000001</v>
      </c>
      <c r="N79" s="62">
        <v>6.7000000000000004E-2</v>
      </c>
      <c r="O79" s="62">
        <v>0.53300000000000003</v>
      </c>
      <c r="P79" s="72">
        <f t="shared" si="9"/>
        <v>2.0659999999999998</v>
      </c>
      <c r="Q79" s="88" t="str" cm="1">
        <f t="array" ref="Q79">_xlfn.IFS(P79&gt;4,"Excelent",AND(P79&gt;3,P79&lt;=4),"Very Good",AND(P79&gt;2,P79&lt;=3),"Good",AND(P79&gt;1,P79&lt;=2),"Fair")</f>
        <v>Good</v>
      </c>
      <c r="R79" s="63">
        <f t="shared" si="10"/>
        <v>0.2</v>
      </c>
    </row>
    <row r="80" spans="1:19" ht="11.25" customHeight="1" x14ac:dyDescent="0.2">
      <c r="A80" s="48" t="str">
        <f t="shared" si="7"/>
        <v>2022</v>
      </c>
      <c r="B80" s="48" t="str">
        <f t="shared" si="5"/>
        <v>22 Sum</v>
      </c>
      <c r="C80" s="55" t="s">
        <v>147</v>
      </c>
      <c r="D80" s="56" t="s">
        <v>163</v>
      </c>
      <c r="E80" s="56" t="str">
        <f t="shared" si="8"/>
        <v>HSA 6717
Adv Hlth Mgt Res Sem 2022</v>
      </c>
      <c r="F80" s="57" t="s">
        <v>148</v>
      </c>
      <c r="G80" s="58">
        <v>32</v>
      </c>
      <c r="H80" s="59">
        <v>15</v>
      </c>
      <c r="I80" s="60" t="s">
        <v>111</v>
      </c>
      <c r="J80" s="61" t="s">
        <v>96</v>
      </c>
      <c r="K80" s="62">
        <v>0.26700000000000002</v>
      </c>
      <c r="L80" s="62">
        <v>6.7000000000000004E-2</v>
      </c>
      <c r="M80" s="62">
        <v>0.2</v>
      </c>
      <c r="N80" s="62">
        <v>0.2</v>
      </c>
      <c r="O80" s="62">
        <v>0.2</v>
      </c>
      <c r="P80" s="72">
        <f t="shared" si="9"/>
        <v>2.8030000000000004</v>
      </c>
      <c r="Q80" s="88" t="str" cm="1">
        <f t="array" ref="Q80">_xlfn.IFS(P80&gt;4,"Excelent",AND(P80&gt;3,P80&lt;=4),"Very Good",AND(P80&gt;2,P80&lt;=3),"Good",AND(P80&gt;1,P80&lt;=2),"Fair")</f>
        <v>Good</v>
      </c>
      <c r="R80" s="63">
        <f t="shared" si="10"/>
        <v>0.33400000000000002</v>
      </c>
    </row>
    <row r="81" spans="1:19" s="75" customFormat="1" ht="11.25" customHeight="1" x14ac:dyDescent="0.25">
      <c r="A81" s="75" t="str">
        <f t="shared" si="7"/>
        <v>2022</v>
      </c>
      <c r="B81" s="75" t="str">
        <f t="shared" si="5"/>
        <v>22 Sum</v>
      </c>
      <c r="C81" s="76" t="s">
        <v>147</v>
      </c>
      <c r="D81" s="76" t="s">
        <v>103</v>
      </c>
      <c r="E81" s="76" t="str">
        <f t="shared" si="8"/>
        <v>HSA 6717
Adv Hlth Mgt Res Sem 2022</v>
      </c>
      <c r="F81" s="77" t="s">
        <v>148</v>
      </c>
      <c r="G81" s="78">
        <v>32</v>
      </c>
      <c r="H81" s="79">
        <v>15</v>
      </c>
      <c r="I81" s="80" t="s">
        <v>111</v>
      </c>
      <c r="J81" s="81" t="s">
        <v>97</v>
      </c>
      <c r="K81" s="82">
        <v>0.26700000000000002</v>
      </c>
      <c r="L81" s="82">
        <v>0</v>
      </c>
      <c r="M81" s="82">
        <v>0.13300000000000001</v>
      </c>
      <c r="N81" s="82">
        <v>0.2</v>
      </c>
      <c r="O81" s="82">
        <v>0.33300000000000002</v>
      </c>
      <c r="P81" s="83">
        <f t="shared" si="9"/>
        <v>2.4670000000000001</v>
      </c>
      <c r="Q81" s="88" t="str" cm="1">
        <f t="array" ref="Q81">_xlfn.IFS(P81&gt;4,"Excelent",AND(P81&gt;3,P81&lt;=4),"Very Good",AND(P81&gt;2,P81&lt;=3),"Good",AND(P81&gt;1,P81&lt;=2),"Fair")</f>
        <v>Good</v>
      </c>
      <c r="R81" s="84">
        <f t="shared" si="10"/>
        <v>0.26700000000000002</v>
      </c>
      <c r="S81" s="75">
        <f t="shared" ref="S81:S97" si="11">AVERAGE(P74:P81)</f>
        <v>2.5682499999999999</v>
      </c>
    </row>
    <row r="82" spans="1:19" ht="11.25" customHeight="1" x14ac:dyDescent="0.2">
      <c r="A82" s="48" t="str">
        <f t="shared" si="7"/>
        <v>2022</v>
      </c>
      <c r="B82" s="48" t="str">
        <f t="shared" si="5"/>
        <v>22 Spr</v>
      </c>
      <c r="C82" s="55" t="s">
        <v>132</v>
      </c>
      <c r="D82" s="56" t="s">
        <v>163</v>
      </c>
      <c r="E82" s="56" t="str">
        <f t="shared" si="8"/>
        <v>HSA 6717
Adv Hlth Mgt Res Sem 2022</v>
      </c>
      <c r="F82" s="57" t="s">
        <v>133</v>
      </c>
      <c r="G82" s="58">
        <v>14</v>
      </c>
      <c r="H82" s="59">
        <v>5</v>
      </c>
      <c r="I82" s="60" t="s">
        <v>109</v>
      </c>
      <c r="J82" s="61" t="s">
        <v>90</v>
      </c>
      <c r="K82" s="62">
        <v>0.2</v>
      </c>
      <c r="L82" s="62">
        <v>0.6</v>
      </c>
      <c r="M82" s="62">
        <v>0</v>
      </c>
      <c r="N82" s="62">
        <v>0.2</v>
      </c>
      <c r="O82" s="62">
        <v>0</v>
      </c>
      <c r="P82" s="72">
        <f t="shared" si="9"/>
        <v>3.8</v>
      </c>
      <c r="Q82" s="88" t="str" cm="1">
        <f t="array" ref="Q82">_xlfn.IFS(P82&gt;4,"Excelent",AND(P82&gt;3,P82&lt;=4),"Very Good",AND(P82&gt;2,P82&lt;=3),"Good",AND(P82&gt;1,P82&lt;=2),"Fair")</f>
        <v>Very Good</v>
      </c>
      <c r="R82" s="63">
        <f t="shared" si="10"/>
        <v>0.8</v>
      </c>
    </row>
    <row r="83" spans="1:19" ht="11.25" customHeight="1" x14ac:dyDescent="0.2">
      <c r="A83" s="48" t="str">
        <f t="shared" si="7"/>
        <v>2022</v>
      </c>
      <c r="B83" s="48" t="str">
        <f t="shared" si="5"/>
        <v>22 Spr</v>
      </c>
      <c r="C83" s="55" t="s">
        <v>132</v>
      </c>
      <c r="D83" s="56" t="s">
        <v>163</v>
      </c>
      <c r="E83" s="56" t="str">
        <f t="shared" si="8"/>
        <v>HSA 6717
Adv Hlth Mgt Res Sem 2022</v>
      </c>
      <c r="F83" s="57" t="s">
        <v>133</v>
      </c>
      <c r="G83" s="58">
        <v>14</v>
      </c>
      <c r="H83" s="59">
        <v>5</v>
      </c>
      <c r="I83" s="60" t="s">
        <v>109</v>
      </c>
      <c r="J83" s="61" t="s">
        <v>91</v>
      </c>
      <c r="K83" s="62">
        <v>0.2</v>
      </c>
      <c r="L83" s="62">
        <v>0.6</v>
      </c>
      <c r="M83" s="62">
        <v>0</v>
      </c>
      <c r="N83" s="62">
        <v>0.2</v>
      </c>
      <c r="O83" s="62">
        <v>0</v>
      </c>
      <c r="P83" s="72">
        <f t="shared" si="9"/>
        <v>3.8</v>
      </c>
      <c r="Q83" s="88" t="str" cm="1">
        <f t="array" ref="Q83">_xlfn.IFS(P83&gt;4,"Excelent",AND(P83&gt;3,P83&lt;=4),"Very Good",AND(P83&gt;2,P83&lt;=3),"Good",AND(P83&gt;1,P83&lt;=2),"Fair")</f>
        <v>Very Good</v>
      </c>
      <c r="R83" s="63">
        <f t="shared" si="10"/>
        <v>0.8</v>
      </c>
    </row>
    <row r="84" spans="1:19" ht="11.25" customHeight="1" x14ac:dyDescent="0.2">
      <c r="A84" s="48" t="str">
        <f t="shared" si="7"/>
        <v>2022</v>
      </c>
      <c r="B84" s="48" t="str">
        <f t="shared" si="5"/>
        <v>22 Spr</v>
      </c>
      <c r="C84" s="55" t="s">
        <v>132</v>
      </c>
      <c r="D84" s="56" t="s">
        <v>163</v>
      </c>
      <c r="E84" s="56" t="str">
        <f t="shared" si="8"/>
        <v>HSA 6717
Adv Hlth Mgt Res Sem 2022</v>
      </c>
      <c r="F84" s="57" t="s">
        <v>133</v>
      </c>
      <c r="G84" s="58">
        <v>14</v>
      </c>
      <c r="H84" s="59">
        <v>5</v>
      </c>
      <c r="I84" s="60" t="s">
        <v>109</v>
      </c>
      <c r="J84" s="61" t="s">
        <v>92</v>
      </c>
      <c r="K84" s="62">
        <v>0.2</v>
      </c>
      <c r="L84" s="62">
        <v>0.4</v>
      </c>
      <c r="M84" s="62">
        <v>0.2</v>
      </c>
      <c r="N84" s="62">
        <v>0.2</v>
      </c>
      <c r="O84" s="62">
        <v>0</v>
      </c>
      <c r="P84" s="72">
        <f t="shared" si="9"/>
        <v>3.6</v>
      </c>
      <c r="Q84" s="88" t="str" cm="1">
        <f t="array" ref="Q84">_xlfn.IFS(P84&gt;4,"Excelent",AND(P84&gt;3,P84&lt;=4),"Very Good",AND(P84&gt;2,P84&lt;=3),"Good",AND(P84&gt;1,P84&lt;=2),"Fair")</f>
        <v>Very Good</v>
      </c>
      <c r="R84" s="63">
        <f t="shared" si="10"/>
        <v>0.60000000000000009</v>
      </c>
    </row>
    <row r="85" spans="1:19" ht="11.25" customHeight="1" x14ac:dyDescent="0.2">
      <c r="A85" s="48" t="str">
        <f t="shared" si="7"/>
        <v>2022</v>
      </c>
      <c r="B85" s="48" t="str">
        <f t="shared" ref="B85:B148" si="12">_xlfn.CONCAT(RIGHT(C85,2)," ",LEFT(C85,3))</f>
        <v>22 Spr</v>
      </c>
      <c r="C85" s="55" t="s">
        <v>132</v>
      </c>
      <c r="D85" s="56" t="s">
        <v>163</v>
      </c>
      <c r="E85" s="56" t="str">
        <f t="shared" si="8"/>
        <v>HSA 6717
Adv Hlth Mgt Res Sem 2022</v>
      </c>
      <c r="F85" s="57" t="s">
        <v>133</v>
      </c>
      <c r="G85" s="58">
        <v>14</v>
      </c>
      <c r="H85" s="59">
        <v>5</v>
      </c>
      <c r="I85" s="60" t="s">
        <v>109</v>
      </c>
      <c r="J85" s="61" t="s">
        <v>93</v>
      </c>
      <c r="K85" s="62">
        <v>0.4</v>
      </c>
      <c r="L85" s="62">
        <v>0.2</v>
      </c>
      <c r="M85" s="62">
        <v>0</v>
      </c>
      <c r="N85" s="62">
        <v>0.4</v>
      </c>
      <c r="O85" s="62">
        <v>0</v>
      </c>
      <c r="P85" s="72">
        <f t="shared" si="9"/>
        <v>3.5999999999999996</v>
      </c>
      <c r="Q85" s="88" t="str" cm="1">
        <f t="array" ref="Q85">_xlfn.IFS(P85&gt;4,"Excelent",AND(P85&gt;3,P85&lt;=4),"Very Good",AND(P85&gt;2,P85&lt;=3),"Good",AND(P85&gt;1,P85&lt;=2),"Fair")</f>
        <v>Very Good</v>
      </c>
      <c r="R85" s="63">
        <f t="shared" si="10"/>
        <v>0.60000000000000009</v>
      </c>
    </row>
    <row r="86" spans="1:19" ht="11.25" customHeight="1" x14ac:dyDescent="0.2">
      <c r="A86" s="48" t="str">
        <f t="shared" si="7"/>
        <v>2022</v>
      </c>
      <c r="B86" s="48" t="str">
        <f t="shared" si="12"/>
        <v>22 Spr</v>
      </c>
      <c r="C86" s="55" t="s">
        <v>132</v>
      </c>
      <c r="D86" s="56" t="s">
        <v>163</v>
      </c>
      <c r="E86" s="56" t="str">
        <f t="shared" si="8"/>
        <v>HSA 6717
Adv Hlth Mgt Res Sem 2022</v>
      </c>
      <c r="F86" s="57" t="s">
        <v>133</v>
      </c>
      <c r="G86" s="58">
        <v>14</v>
      </c>
      <c r="H86" s="59">
        <v>5</v>
      </c>
      <c r="I86" s="60" t="s">
        <v>109</v>
      </c>
      <c r="J86" s="61" t="s">
        <v>94</v>
      </c>
      <c r="K86" s="62">
        <v>0.2</v>
      </c>
      <c r="L86" s="62">
        <v>0.4</v>
      </c>
      <c r="M86" s="62">
        <v>0.2</v>
      </c>
      <c r="N86" s="62">
        <v>0.2</v>
      </c>
      <c r="O86" s="62">
        <v>0</v>
      </c>
      <c r="P86" s="72">
        <f t="shared" si="9"/>
        <v>3.6</v>
      </c>
      <c r="Q86" s="88" t="str" cm="1">
        <f t="array" ref="Q86">_xlfn.IFS(P86&gt;4,"Excelent",AND(P86&gt;3,P86&lt;=4),"Very Good",AND(P86&gt;2,P86&lt;=3),"Good",AND(P86&gt;1,P86&lt;=2),"Fair")</f>
        <v>Very Good</v>
      </c>
      <c r="R86" s="63">
        <f t="shared" si="10"/>
        <v>0.60000000000000009</v>
      </c>
    </row>
    <row r="87" spans="1:19" ht="11.25" customHeight="1" x14ac:dyDescent="0.2">
      <c r="A87" s="48" t="str">
        <f t="shared" si="7"/>
        <v>2022</v>
      </c>
      <c r="B87" s="48" t="str">
        <f t="shared" si="12"/>
        <v>22 Spr</v>
      </c>
      <c r="C87" s="55" t="s">
        <v>132</v>
      </c>
      <c r="D87" s="56" t="s">
        <v>163</v>
      </c>
      <c r="E87" s="56" t="str">
        <f t="shared" si="8"/>
        <v>HSA 6717
Adv Hlth Mgt Res Sem 2022</v>
      </c>
      <c r="F87" s="57" t="s">
        <v>133</v>
      </c>
      <c r="G87" s="58">
        <v>14</v>
      </c>
      <c r="H87" s="59">
        <v>5</v>
      </c>
      <c r="I87" s="60" t="s">
        <v>109</v>
      </c>
      <c r="J87" s="61" t="s">
        <v>95</v>
      </c>
      <c r="K87" s="62">
        <v>0.2</v>
      </c>
      <c r="L87" s="62">
        <v>0.4</v>
      </c>
      <c r="M87" s="62">
        <v>0.2</v>
      </c>
      <c r="N87" s="62">
        <v>0</v>
      </c>
      <c r="O87" s="62">
        <v>0.2</v>
      </c>
      <c r="P87" s="72">
        <f t="shared" si="9"/>
        <v>3.4000000000000004</v>
      </c>
      <c r="Q87" s="88" t="str" cm="1">
        <f t="array" ref="Q87">_xlfn.IFS(P87&gt;4,"Excelent",AND(P87&gt;3,P87&lt;=4),"Very Good",AND(P87&gt;2,P87&lt;=3),"Good",AND(P87&gt;1,P87&lt;=2),"Fair")</f>
        <v>Very Good</v>
      </c>
      <c r="R87" s="63">
        <f t="shared" si="10"/>
        <v>0.60000000000000009</v>
      </c>
    </row>
    <row r="88" spans="1:19" ht="11.25" customHeight="1" x14ac:dyDescent="0.2">
      <c r="A88" s="48" t="str">
        <f t="shared" si="7"/>
        <v>2022</v>
      </c>
      <c r="B88" s="48" t="str">
        <f t="shared" si="12"/>
        <v>22 Spr</v>
      </c>
      <c r="C88" s="55" t="s">
        <v>132</v>
      </c>
      <c r="D88" s="56" t="s">
        <v>163</v>
      </c>
      <c r="E88" s="56" t="str">
        <f t="shared" si="8"/>
        <v>HSA 6717
Adv Hlth Mgt Res Sem 2022</v>
      </c>
      <c r="F88" s="57" t="s">
        <v>133</v>
      </c>
      <c r="G88" s="58">
        <v>14</v>
      </c>
      <c r="H88" s="59">
        <v>5</v>
      </c>
      <c r="I88" s="60" t="s">
        <v>109</v>
      </c>
      <c r="J88" s="61" t="s">
        <v>96</v>
      </c>
      <c r="K88" s="62">
        <v>0.6</v>
      </c>
      <c r="L88" s="62">
        <v>0.2</v>
      </c>
      <c r="M88" s="62">
        <v>0</v>
      </c>
      <c r="N88" s="62">
        <v>0.2</v>
      </c>
      <c r="O88" s="62">
        <v>0</v>
      </c>
      <c r="P88" s="72">
        <f t="shared" si="9"/>
        <v>4.2</v>
      </c>
      <c r="Q88" s="88" t="str" cm="1">
        <f t="array" ref="Q88">_xlfn.IFS(P88&gt;4,"Excelent",AND(P88&gt;3,P88&lt;=4),"Very Good",AND(P88&gt;2,P88&lt;=3),"Good",AND(P88&gt;1,P88&lt;=2),"Fair")</f>
        <v>Excelent</v>
      </c>
      <c r="R88" s="63">
        <f t="shared" si="10"/>
        <v>0.8</v>
      </c>
    </row>
    <row r="89" spans="1:19" s="75" customFormat="1" ht="11.25" customHeight="1" x14ac:dyDescent="0.25">
      <c r="A89" s="75" t="str">
        <f t="shared" si="7"/>
        <v>2022</v>
      </c>
      <c r="B89" s="75" t="str">
        <f t="shared" si="12"/>
        <v>22 Spr</v>
      </c>
      <c r="C89" s="76" t="s">
        <v>132</v>
      </c>
      <c r="D89" s="76" t="s">
        <v>103</v>
      </c>
      <c r="E89" s="76" t="str">
        <f t="shared" si="8"/>
        <v>HSA 6717
Adv Hlth Mgt Res Sem 2022</v>
      </c>
      <c r="F89" s="77" t="s">
        <v>133</v>
      </c>
      <c r="G89" s="78">
        <v>14</v>
      </c>
      <c r="H89" s="79">
        <v>5</v>
      </c>
      <c r="I89" s="80" t="s">
        <v>109</v>
      </c>
      <c r="J89" s="81" t="s">
        <v>97</v>
      </c>
      <c r="K89" s="82">
        <v>0.2</v>
      </c>
      <c r="L89" s="82">
        <v>0.6</v>
      </c>
      <c r="M89" s="82">
        <v>0</v>
      </c>
      <c r="N89" s="82">
        <v>0.2</v>
      </c>
      <c r="O89" s="82">
        <v>0</v>
      </c>
      <c r="P89" s="83">
        <f t="shared" si="9"/>
        <v>3.8</v>
      </c>
      <c r="Q89" s="88" t="str" cm="1">
        <f t="array" ref="Q89">_xlfn.IFS(P89&gt;4,"Excelent",AND(P89&gt;3,P89&lt;=4),"Very Good",AND(P89&gt;2,P89&lt;=3),"Good",AND(P89&gt;1,P89&lt;=2),"Fair")</f>
        <v>Very Good</v>
      </c>
      <c r="R89" s="84">
        <f t="shared" si="10"/>
        <v>0.8</v>
      </c>
      <c r="S89" s="75">
        <f t="shared" si="11"/>
        <v>3.7249999999999996</v>
      </c>
    </row>
    <row r="90" spans="1:19" ht="11.25" customHeight="1" x14ac:dyDescent="0.2">
      <c r="A90" s="48" t="str">
        <f t="shared" si="7"/>
        <v>2021</v>
      </c>
      <c r="B90" s="48" t="str">
        <f t="shared" si="12"/>
        <v>21 Sum</v>
      </c>
      <c r="C90" s="55" t="s">
        <v>127</v>
      </c>
      <c r="D90" s="56" t="s">
        <v>163</v>
      </c>
      <c r="E90" s="56" t="str">
        <f t="shared" si="8"/>
        <v>HSA 6717
Adv Hlth Mgt Res Sem 2021</v>
      </c>
      <c r="F90" s="57" t="s">
        <v>128</v>
      </c>
      <c r="G90" s="58">
        <v>28</v>
      </c>
      <c r="H90" s="59">
        <v>18</v>
      </c>
      <c r="I90" s="60" t="s">
        <v>111</v>
      </c>
      <c r="J90" s="61" t="s">
        <v>90</v>
      </c>
      <c r="K90" s="62">
        <v>0.38900000000000001</v>
      </c>
      <c r="L90" s="62">
        <v>0.111</v>
      </c>
      <c r="M90" s="62">
        <v>0.27800000000000002</v>
      </c>
      <c r="N90" s="62">
        <v>0.16700000000000001</v>
      </c>
      <c r="O90" s="62">
        <v>5.6000000000000001E-2</v>
      </c>
      <c r="P90" s="72">
        <f t="shared" si="9"/>
        <v>3.6130000000000004</v>
      </c>
      <c r="Q90" s="88" t="str" cm="1">
        <f t="array" ref="Q90">_xlfn.IFS(P90&gt;4,"Excelent",AND(P90&gt;3,P90&lt;=4),"Very Good",AND(P90&gt;2,P90&lt;=3),"Good",AND(P90&gt;1,P90&lt;=2),"Fair")</f>
        <v>Very Good</v>
      </c>
      <c r="R90" s="63">
        <f t="shared" si="10"/>
        <v>0.5</v>
      </c>
    </row>
    <row r="91" spans="1:19" ht="11.25" customHeight="1" x14ac:dyDescent="0.2">
      <c r="A91" s="48" t="str">
        <f t="shared" si="7"/>
        <v>2021</v>
      </c>
      <c r="B91" s="48" t="str">
        <f t="shared" si="12"/>
        <v>21 Sum</v>
      </c>
      <c r="C91" s="55" t="s">
        <v>127</v>
      </c>
      <c r="D91" s="56" t="s">
        <v>163</v>
      </c>
      <c r="E91" s="56" t="str">
        <f t="shared" si="8"/>
        <v>HSA 6717
Adv Hlth Mgt Res Sem 2021</v>
      </c>
      <c r="F91" s="57" t="s">
        <v>128</v>
      </c>
      <c r="G91" s="58">
        <v>28</v>
      </c>
      <c r="H91" s="59">
        <v>18</v>
      </c>
      <c r="I91" s="60" t="s">
        <v>111</v>
      </c>
      <c r="J91" s="61" t="s">
        <v>91</v>
      </c>
      <c r="K91" s="62">
        <v>0.38900000000000001</v>
      </c>
      <c r="L91" s="62">
        <v>0.27800000000000002</v>
      </c>
      <c r="M91" s="62">
        <v>0.111</v>
      </c>
      <c r="N91" s="62">
        <v>0.111</v>
      </c>
      <c r="O91" s="62">
        <v>0.111</v>
      </c>
      <c r="P91" s="72">
        <f t="shared" si="9"/>
        <v>3.7230000000000008</v>
      </c>
      <c r="Q91" s="88" t="str" cm="1">
        <f t="array" ref="Q91">_xlfn.IFS(P91&gt;4,"Excelent",AND(P91&gt;3,P91&lt;=4),"Very Good",AND(P91&gt;2,P91&lt;=3),"Good",AND(P91&gt;1,P91&lt;=2),"Fair")</f>
        <v>Very Good</v>
      </c>
      <c r="R91" s="63">
        <f t="shared" si="10"/>
        <v>0.66700000000000004</v>
      </c>
    </row>
    <row r="92" spans="1:19" ht="11.25" customHeight="1" x14ac:dyDescent="0.2">
      <c r="A92" s="48" t="str">
        <f t="shared" si="7"/>
        <v>2021</v>
      </c>
      <c r="B92" s="48" t="str">
        <f t="shared" si="12"/>
        <v>21 Sum</v>
      </c>
      <c r="C92" s="55" t="s">
        <v>127</v>
      </c>
      <c r="D92" s="56" t="s">
        <v>163</v>
      </c>
      <c r="E92" s="56" t="str">
        <f t="shared" si="8"/>
        <v>HSA 6717
Adv Hlth Mgt Res Sem 2021</v>
      </c>
      <c r="F92" s="57" t="s">
        <v>128</v>
      </c>
      <c r="G92" s="58">
        <v>28</v>
      </c>
      <c r="H92" s="59">
        <v>18</v>
      </c>
      <c r="I92" s="60" t="s">
        <v>111</v>
      </c>
      <c r="J92" s="61" t="s">
        <v>92</v>
      </c>
      <c r="K92" s="62">
        <v>0.44400000000000001</v>
      </c>
      <c r="L92" s="62">
        <v>5.6000000000000001E-2</v>
      </c>
      <c r="M92" s="62">
        <v>0.222</v>
      </c>
      <c r="N92" s="62">
        <v>0.111</v>
      </c>
      <c r="O92" s="62">
        <v>0.16700000000000001</v>
      </c>
      <c r="P92" s="72">
        <f t="shared" si="9"/>
        <v>3.4990000000000001</v>
      </c>
      <c r="Q92" s="88" t="str" cm="1">
        <f t="array" ref="Q92">_xlfn.IFS(P92&gt;4,"Excelent",AND(P92&gt;3,P92&lt;=4),"Very Good",AND(P92&gt;2,P92&lt;=3),"Good",AND(P92&gt;1,P92&lt;=2),"Fair")</f>
        <v>Very Good</v>
      </c>
      <c r="R92" s="63">
        <f t="shared" si="10"/>
        <v>0.5</v>
      </c>
    </row>
    <row r="93" spans="1:19" ht="11.25" customHeight="1" x14ac:dyDescent="0.2">
      <c r="A93" s="48" t="str">
        <f t="shared" si="7"/>
        <v>2021</v>
      </c>
      <c r="B93" s="48" t="str">
        <f t="shared" si="12"/>
        <v>21 Sum</v>
      </c>
      <c r="C93" s="55" t="s">
        <v>127</v>
      </c>
      <c r="D93" s="56" t="s">
        <v>163</v>
      </c>
      <c r="E93" s="56" t="str">
        <f t="shared" si="8"/>
        <v>HSA 6717
Adv Hlth Mgt Res Sem 2021</v>
      </c>
      <c r="F93" s="57" t="s">
        <v>128</v>
      </c>
      <c r="G93" s="58">
        <v>28</v>
      </c>
      <c r="H93" s="59">
        <v>18</v>
      </c>
      <c r="I93" s="60" t="s">
        <v>111</v>
      </c>
      <c r="J93" s="61" t="s">
        <v>93</v>
      </c>
      <c r="K93" s="62">
        <v>0.44400000000000001</v>
      </c>
      <c r="L93" s="62">
        <v>0.16700000000000001</v>
      </c>
      <c r="M93" s="62">
        <v>0.16700000000000001</v>
      </c>
      <c r="N93" s="62">
        <v>0.111</v>
      </c>
      <c r="O93" s="62">
        <v>0.111</v>
      </c>
      <c r="P93" s="72">
        <f t="shared" si="9"/>
        <v>3.7220000000000004</v>
      </c>
      <c r="Q93" s="88" t="str" cm="1">
        <f t="array" ref="Q93">_xlfn.IFS(P93&gt;4,"Excelent",AND(P93&gt;3,P93&lt;=4),"Very Good",AND(P93&gt;2,P93&lt;=3),"Good",AND(P93&gt;1,P93&lt;=2),"Fair")</f>
        <v>Very Good</v>
      </c>
      <c r="R93" s="63">
        <f t="shared" si="10"/>
        <v>0.61099999999999999</v>
      </c>
    </row>
    <row r="94" spans="1:19" ht="11.25" customHeight="1" x14ac:dyDescent="0.2">
      <c r="A94" s="48" t="str">
        <f t="shared" si="7"/>
        <v>2021</v>
      </c>
      <c r="B94" s="48" t="str">
        <f t="shared" si="12"/>
        <v>21 Sum</v>
      </c>
      <c r="C94" s="55" t="s">
        <v>127</v>
      </c>
      <c r="D94" s="56" t="s">
        <v>163</v>
      </c>
      <c r="E94" s="56" t="str">
        <f t="shared" si="8"/>
        <v>HSA 6717
Adv Hlth Mgt Res Sem 2021</v>
      </c>
      <c r="F94" s="57" t="s">
        <v>128</v>
      </c>
      <c r="G94" s="58">
        <v>28</v>
      </c>
      <c r="H94" s="59">
        <v>18</v>
      </c>
      <c r="I94" s="60" t="s">
        <v>111</v>
      </c>
      <c r="J94" s="61" t="s">
        <v>94</v>
      </c>
      <c r="K94" s="62">
        <v>0.38900000000000001</v>
      </c>
      <c r="L94" s="62">
        <v>0.111</v>
      </c>
      <c r="M94" s="62">
        <v>0.27800000000000002</v>
      </c>
      <c r="N94" s="62">
        <v>0.111</v>
      </c>
      <c r="O94" s="62">
        <v>0.111</v>
      </c>
      <c r="P94" s="72">
        <f t="shared" si="9"/>
        <v>3.5560000000000005</v>
      </c>
      <c r="Q94" s="88" t="str" cm="1">
        <f t="array" ref="Q94">_xlfn.IFS(P94&gt;4,"Excelent",AND(P94&gt;3,P94&lt;=4),"Very Good",AND(P94&gt;2,P94&lt;=3),"Good",AND(P94&gt;1,P94&lt;=2),"Fair")</f>
        <v>Very Good</v>
      </c>
      <c r="R94" s="63">
        <f t="shared" si="10"/>
        <v>0.5</v>
      </c>
    </row>
    <row r="95" spans="1:19" ht="11.25" customHeight="1" x14ac:dyDescent="0.2">
      <c r="A95" s="48" t="str">
        <f t="shared" si="7"/>
        <v>2021</v>
      </c>
      <c r="B95" s="48" t="str">
        <f t="shared" si="12"/>
        <v>21 Sum</v>
      </c>
      <c r="C95" s="55" t="s">
        <v>127</v>
      </c>
      <c r="D95" s="56" t="s">
        <v>163</v>
      </c>
      <c r="E95" s="56" t="str">
        <f t="shared" si="8"/>
        <v>HSA 6717
Adv Hlth Mgt Res Sem 2021</v>
      </c>
      <c r="F95" s="57" t="s">
        <v>128</v>
      </c>
      <c r="G95" s="58">
        <v>28</v>
      </c>
      <c r="H95" s="59">
        <v>18</v>
      </c>
      <c r="I95" s="60" t="s">
        <v>111</v>
      </c>
      <c r="J95" s="61" t="s">
        <v>95</v>
      </c>
      <c r="K95" s="62">
        <v>0.44400000000000001</v>
      </c>
      <c r="L95" s="62">
        <v>0.16700000000000001</v>
      </c>
      <c r="M95" s="62">
        <v>0.16700000000000001</v>
      </c>
      <c r="N95" s="62">
        <v>0.16700000000000001</v>
      </c>
      <c r="O95" s="62">
        <v>5.6000000000000001E-2</v>
      </c>
      <c r="P95" s="72">
        <f t="shared" si="9"/>
        <v>3.7790000000000004</v>
      </c>
      <c r="Q95" s="88" t="str" cm="1">
        <f t="array" ref="Q95">_xlfn.IFS(P95&gt;4,"Excelent",AND(P95&gt;3,P95&lt;=4),"Very Good",AND(P95&gt;2,P95&lt;=3),"Good",AND(P95&gt;1,P95&lt;=2),"Fair")</f>
        <v>Very Good</v>
      </c>
      <c r="R95" s="63">
        <f t="shared" si="10"/>
        <v>0.61099999999999999</v>
      </c>
    </row>
    <row r="96" spans="1:19" ht="11.25" customHeight="1" x14ac:dyDescent="0.2">
      <c r="A96" s="48" t="str">
        <f t="shared" si="7"/>
        <v>2021</v>
      </c>
      <c r="B96" s="48" t="str">
        <f t="shared" si="12"/>
        <v>21 Sum</v>
      </c>
      <c r="C96" s="55" t="s">
        <v>127</v>
      </c>
      <c r="D96" s="56" t="s">
        <v>163</v>
      </c>
      <c r="E96" s="56" t="str">
        <f t="shared" si="8"/>
        <v>HSA 6717
Adv Hlth Mgt Res Sem 2021</v>
      </c>
      <c r="F96" s="57" t="s">
        <v>128</v>
      </c>
      <c r="G96" s="58">
        <v>28</v>
      </c>
      <c r="H96" s="59">
        <v>18</v>
      </c>
      <c r="I96" s="60" t="s">
        <v>111</v>
      </c>
      <c r="J96" s="61" t="s">
        <v>96</v>
      </c>
      <c r="K96" s="62">
        <v>0.44400000000000001</v>
      </c>
      <c r="L96" s="62">
        <v>0.16700000000000001</v>
      </c>
      <c r="M96" s="62">
        <v>0.222</v>
      </c>
      <c r="N96" s="62">
        <v>5.6000000000000001E-2</v>
      </c>
      <c r="O96" s="62">
        <v>5.6000000000000001E-2</v>
      </c>
      <c r="P96" s="72">
        <f t="shared" si="9"/>
        <v>3.7220000000000004</v>
      </c>
      <c r="Q96" s="88" t="str" cm="1">
        <f t="array" ref="Q96">_xlfn.IFS(P96&gt;4,"Excelent",AND(P96&gt;3,P96&lt;=4),"Very Good",AND(P96&gt;2,P96&lt;=3),"Good",AND(P96&gt;1,P96&lt;=2),"Fair")</f>
        <v>Very Good</v>
      </c>
      <c r="R96" s="63">
        <f t="shared" si="10"/>
        <v>0.61099999999999999</v>
      </c>
    </row>
    <row r="97" spans="1:19" s="75" customFormat="1" ht="11.25" customHeight="1" x14ac:dyDescent="0.25">
      <c r="A97" s="75" t="str">
        <f t="shared" si="7"/>
        <v>2021</v>
      </c>
      <c r="B97" s="75" t="str">
        <f t="shared" si="12"/>
        <v>21 Sum</v>
      </c>
      <c r="C97" s="76" t="s">
        <v>127</v>
      </c>
      <c r="D97" s="76" t="s">
        <v>103</v>
      </c>
      <c r="E97" s="76" t="str">
        <f t="shared" si="8"/>
        <v>HSA 6717
Adv Hlth Mgt Res Sem 2021</v>
      </c>
      <c r="F97" s="77" t="s">
        <v>128</v>
      </c>
      <c r="G97" s="78">
        <v>28</v>
      </c>
      <c r="H97" s="79">
        <v>18</v>
      </c>
      <c r="I97" s="80" t="s">
        <v>111</v>
      </c>
      <c r="J97" s="81" t="s">
        <v>97</v>
      </c>
      <c r="K97" s="82">
        <v>0.38900000000000001</v>
      </c>
      <c r="L97" s="82">
        <v>0.16700000000000001</v>
      </c>
      <c r="M97" s="82">
        <v>0.222</v>
      </c>
      <c r="N97" s="82">
        <v>0.16700000000000001</v>
      </c>
      <c r="O97" s="82">
        <v>5.6000000000000001E-2</v>
      </c>
      <c r="P97" s="83">
        <f t="shared" si="9"/>
        <v>3.669</v>
      </c>
      <c r="Q97" s="88" t="str" cm="1">
        <f t="array" ref="Q97">_xlfn.IFS(P97&gt;4,"Excelent",AND(P97&gt;3,P97&lt;=4),"Very Good",AND(P97&gt;2,P97&lt;=3),"Good",AND(P97&gt;1,P97&lt;=2),"Fair")</f>
        <v>Very Good</v>
      </c>
      <c r="R97" s="84">
        <f t="shared" si="10"/>
        <v>0.55600000000000005</v>
      </c>
      <c r="S97" s="75">
        <f t="shared" si="11"/>
        <v>3.6603750000000006</v>
      </c>
    </row>
    <row r="98" spans="1:19" ht="11.25" customHeight="1" x14ac:dyDescent="0.2">
      <c r="A98" s="48" t="str">
        <f t="shared" si="7"/>
        <v>2021</v>
      </c>
      <c r="B98" s="48" t="str">
        <f t="shared" si="12"/>
        <v>21 Spr</v>
      </c>
      <c r="C98" s="55" t="s">
        <v>129</v>
      </c>
      <c r="D98" s="56" t="s">
        <v>163</v>
      </c>
      <c r="E98" s="56" t="str">
        <f t="shared" si="8"/>
        <v>HSA 6717
Adv Hlth Mgt Res Sem 2021</v>
      </c>
      <c r="F98" s="66" t="s">
        <v>113</v>
      </c>
      <c r="G98" s="58">
        <v>12</v>
      </c>
      <c r="H98" s="59">
        <v>2</v>
      </c>
      <c r="I98" s="60" t="s">
        <v>112</v>
      </c>
      <c r="J98" s="61" t="s">
        <v>90</v>
      </c>
      <c r="K98" s="62">
        <v>1</v>
      </c>
      <c r="L98" s="62">
        <v>0</v>
      </c>
      <c r="M98" s="62">
        <v>0</v>
      </c>
      <c r="N98" s="62">
        <v>0</v>
      </c>
      <c r="O98" s="62">
        <v>0</v>
      </c>
      <c r="P98" s="72">
        <f t="shared" si="9"/>
        <v>5</v>
      </c>
      <c r="Q98" s="88" t="str" cm="1">
        <f t="array" ref="Q98">_xlfn.IFS(P98&gt;4,"Excelent",AND(P98&gt;3,P98&lt;=4),"Very Good",AND(P98&gt;2,P98&lt;=3),"Good",AND(P98&gt;1,P98&lt;=2),"Fair")</f>
        <v>Excelent</v>
      </c>
      <c r="R98" s="63">
        <f t="shared" si="10"/>
        <v>1</v>
      </c>
    </row>
    <row r="99" spans="1:19" ht="11.25" customHeight="1" x14ac:dyDescent="0.2">
      <c r="A99" s="48" t="str">
        <f t="shared" si="7"/>
        <v>2021</v>
      </c>
      <c r="B99" s="48" t="str">
        <f t="shared" si="12"/>
        <v>21 Spr</v>
      </c>
      <c r="C99" s="55" t="s">
        <v>129</v>
      </c>
      <c r="D99" s="56" t="s">
        <v>163</v>
      </c>
      <c r="E99" s="56" t="str">
        <f t="shared" si="8"/>
        <v>HSA 6717
Adv Hlth Mgt Res Sem 2021</v>
      </c>
      <c r="F99" s="66" t="s">
        <v>113</v>
      </c>
      <c r="G99" s="58">
        <v>12</v>
      </c>
      <c r="H99" s="59">
        <v>2</v>
      </c>
      <c r="I99" s="60" t="s">
        <v>112</v>
      </c>
      <c r="J99" s="61" t="s">
        <v>91</v>
      </c>
      <c r="K99" s="62">
        <v>1</v>
      </c>
      <c r="L99" s="62">
        <v>0</v>
      </c>
      <c r="M99" s="62">
        <v>0</v>
      </c>
      <c r="N99" s="62">
        <v>0</v>
      </c>
      <c r="O99" s="62">
        <v>0</v>
      </c>
      <c r="P99" s="72">
        <f t="shared" si="9"/>
        <v>5</v>
      </c>
      <c r="Q99" s="88" t="str" cm="1">
        <f t="array" ref="Q99">_xlfn.IFS(P99&gt;4,"Excelent",AND(P99&gt;3,P99&lt;=4),"Very Good",AND(P99&gt;2,P99&lt;=3),"Good",AND(P99&gt;1,P99&lt;=2),"Fair")</f>
        <v>Excelent</v>
      </c>
      <c r="R99" s="63">
        <f t="shared" si="10"/>
        <v>1</v>
      </c>
    </row>
    <row r="100" spans="1:19" ht="11.25" customHeight="1" x14ac:dyDescent="0.2">
      <c r="A100" s="48" t="str">
        <f t="shared" si="7"/>
        <v>2021</v>
      </c>
      <c r="B100" s="48" t="str">
        <f t="shared" si="12"/>
        <v>21 Spr</v>
      </c>
      <c r="C100" s="55" t="s">
        <v>129</v>
      </c>
      <c r="D100" s="56" t="s">
        <v>163</v>
      </c>
      <c r="E100" s="56" t="str">
        <f t="shared" si="8"/>
        <v>HSA 6717
Adv Hlth Mgt Res Sem 2021</v>
      </c>
      <c r="F100" s="66" t="s">
        <v>113</v>
      </c>
      <c r="G100" s="58">
        <v>12</v>
      </c>
      <c r="H100" s="59">
        <v>2</v>
      </c>
      <c r="I100" s="60" t="s">
        <v>112</v>
      </c>
      <c r="J100" s="61" t="s">
        <v>92</v>
      </c>
      <c r="K100" s="62">
        <v>1</v>
      </c>
      <c r="L100" s="62">
        <v>0</v>
      </c>
      <c r="M100" s="62">
        <v>0</v>
      </c>
      <c r="N100" s="62">
        <v>0</v>
      </c>
      <c r="O100" s="62">
        <v>0</v>
      </c>
      <c r="P100" s="72">
        <f t="shared" si="9"/>
        <v>5</v>
      </c>
      <c r="Q100" s="88" t="str" cm="1">
        <f t="array" ref="Q100">_xlfn.IFS(P100&gt;4,"Excelent",AND(P100&gt;3,P100&lt;=4),"Very Good",AND(P100&gt;2,P100&lt;=3),"Good",AND(P100&gt;1,P100&lt;=2),"Fair")</f>
        <v>Excelent</v>
      </c>
      <c r="R100" s="63">
        <f t="shared" si="10"/>
        <v>1</v>
      </c>
    </row>
    <row r="101" spans="1:19" ht="11.25" customHeight="1" x14ac:dyDescent="0.2">
      <c r="A101" s="48" t="str">
        <f t="shared" si="7"/>
        <v>2021</v>
      </c>
      <c r="B101" s="48" t="str">
        <f t="shared" si="12"/>
        <v>21 Spr</v>
      </c>
      <c r="C101" s="55" t="s">
        <v>129</v>
      </c>
      <c r="D101" s="56" t="s">
        <v>163</v>
      </c>
      <c r="E101" s="56" t="str">
        <f t="shared" si="8"/>
        <v>HSA 6717
Adv Hlth Mgt Res Sem 2021</v>
      </c>
      <c r="F101" s="66" t="s">
        <v>113</v>
      </c>
      <c r="G101" s="58">
        <v>12</v>
      </c>
      <c r="H101" s="59">
        <v>2</v>
      </c>
      <c r="I101" s="60" t="s">
        <v>112</v>
      </c>
      <c r="J101" s="61" t="s">
        <v>93</v>
      </c>
      <c r="K101" s="62">
        <v>1</v>
      </c>
      <c r="L101" s="62">
        <v>0</v>
      </c>
      <c r="M101" s="62">
        <v>0</v>
      </c>
      <c r="N101" s="62">
        <v>0</v>
      </c>
      <c r="O101" s="62">
        <v>0</v>
      </c>
      <c r="P101" s="72">
        <f t="shared" si="9"/>
        <v>5</v>
      </c>
      <c r="Q101" s="88" t="str" cm="1">
        <f t="array" ref="Q101">_xlfn.IFS(P101&gt;4,"Excelent",AND(P101&gt;3,P101&lt;=4),"Very Good",AND(P101&gt;2,P101&lt;=3),"Good",AND(P101&gt;1,P101&lt;=2),"Fair")</f>
        <v>Excelent</v>
      </c>
      <c r="R101" s="63">
        <f t="shared" si="10"/>
        <v>1</v>
      </c>
    </row>
    <row r="102" spans="1:19" ht="11.25" customHeight="1" x14ac:dyDescent="0.2">
      <c r="A102" s="48" t="str">
        <f t="shared" si="7"/>
        <v>2021</v>
      </c>
      <c r="B102" s="48" t="str">
        <f t="shared" si="12"/>
        <v>21 Spr</v>
      </c>
      <c r="C102" s="55" t="s">
        <v>129</v>
      </c>
      <c r="D102" s="56" t="s">
        <v>163</v>
      </c>
      <c r="E102" s="56" t="str">
        <f t="shared" si="8"/>
        <v>HSA 6717
Adv Hlth Mgt Res Sem 2021</v>
      </c>
      <c r="F102" s="66" t="s">
        <v>113</v>
      </c>
      <c r="G102" s="58">
        <v>12</v>
      </c>
      <c r="H102" s="59">
        <v>2</v>
      </c>
      <c r="I102" s="60" t="s">
        <v>112</v>
      </c>
      <c r="J102" s="61" t="s">
        <v>94</v>
      </c>
      <c r="K102" s="62">
        <v>1</v>
      </c>
      <c r="L102" s="62">
        <v>0</v>
      </c>
      <c r="M102" s="62">
        <v>0</v>
      </c>
      <c r="N102" s="62">
        <v>0</v>
      </c>
      <c r="O102" s="62">
        <v>0</v>
      </c>
      <c r="P102" s="72">
        <f t="shared" si="9"/>
        <v>5</v>
      </c>
      <c r="Q102" s="88" t="str" cm="1">
        <f t="array" ref="Q102">_xlfn.IFS(P102&gt;4,"Excelent",AND(P102&gt;3,P102&lt;=4),"Very Good",AND(P102&gt;2,P102&lt;=3),"Good",AND(P102&gt;1,P102&lt;=2),"Fair")</f>
        <v>Excelent</v>
      </c>
      <c r="R102" s="63">
        <f t="shared" si="10"/>
        <v>1</v>
      </c>
    </row>
    <row r="103" spans="1:19" ht="11.25" customHeight="1" x14ac:dyDescent="0.2">
      <c r="A103" s="48" t="str">
        <f t="shared" si="7"/>
        <v>2021</v>
      </c>
      <c r="B103" s="48" t="str">
        <f t="shared" si="12"/>
        <v>21 Spr</v>
      </c>
      <c r="C103" s="55" t="s">
        <v>129</v>
      </c>
      <c r="D103" s="56" t="s">
        <v>163</v>
      </c>
      <c r="E103" s="56" t="str">
        <f t="shared" si="8"/>
        <v>HSA 6717
Adv Hlth Mgt Res Sem 2021</v>
      </c>
      <c r="F103" s="66" t="s">
        <v>113</v>
      </c>
      <c r="G103" s="58">
        <v>12</v>
      </c>
      <c r="H103" s="59">
        <v>2</v>
      </c>
      <c r="I103" s="60" t="s">
        <v>112</v>
      </c>
      <c r="J103" s="61" t="s">
        <v>95</v>
      </c>
      <c r="K103" s="62">
        <v>1</v>
      </c>
      <c r="L103" s="62">
        <v>0</v>
      </c>
      <c r="M103" s="62">
        <v>0</v>
      </c>
      <c r="N103" s="62">
        <v>0</v>
      </c>
      <c r="O103" s="62">
        <v>0</v>
      </c>
      <c r="P103" s="72">
        <f t="shared" si="9"/>
        <v>5</v>
      </c>
      <c r="Q103" s="88" t="str" cm="1">
        <f t="array" ref="Q103">_xlfn.IFS(P103&gt;4,"Excelent",AND(P103&gt;3,P103&lt;=4),"Very Good",AND(P103&gt;2,P103&lt;=3),"Good",AND(P103&gt;1,P103&lt;=2),"Fair")</f>
        <v>Excelent</v>
      </c>
      <c r="R103" s="63">
        <f t="shared" si="10"/>
        <v>1</v>
      </c>
    </row>
    <row r="104" spans="1:19" ht="11.25" customHeight="1" x14ac:dyDescent="0.2">
      <c r="A104" s="48" t="str">
        <f t="shared" si="7"/>
        <v>2021</v>
      </c>
      <c r="B104" s="48" t="str">
        <f t="shared" si="12"/>
        <v>21 Spr</v>
      </c>
      <c r="C104" s="55" t="s">
        <v>129</v>
      </c>
      <c r="D104" s="56" t="s">
        <v>163</v>
      </c>
      <c r="E104" s="56" t="str">
        <f t="shared" si="8"/>
        <v>HSA 6717
Adv Hlth Mgt Res Sem 2021</v>
      </c>
      <c r="F104" s="66" t="s">
        <v>113</v>
      </c>
      <c r="G104" s="58">
        <v>12</v>
      </c>
      <c r="H104" s="59">
        <v>2</v>
      </c>
      <c r="I104" s="60" t="s">
        <v>112</v>
      </c>
      <c r="J104" s="61" t="s">
        <v>96</v>
      </c>
      <c r="K104" s="62">
        <v>1</v>
      </c>
      <c r="L104" s="62">
        <v>0</v>
      </c>
      <c r="M104" s="62">
        <v>0</v>
      </c>
      <c r="N104" s="62">
        <v>0</v>
      </c>
      <c r="O104" s="62">
        <v>0</v>
      </c>
      <c r="P104" s="72">
        <f t="shared" si="9"/>
        <v>5</v>
      </c>
      <c r="Q104" s="88" t="str" cm="1">
        <f t="array" ref="Q104">_xlfn.IFS(P104&gt;4,"Excelent",AND(P104&gt;3,P104&lt;=4),"Very Good",AND(P104&gt;2,P104&lt;=3),"Good",AND(P104&gt;1,P104&lt;=2),"Fair")</f>
        <v>Excelent</v>
      </c>
      <c r="R104" s="63">
        <f t="shared" si="10"/>
        <v>1</v>
      </c>
    </row>
    <row r="105" spans="1:19" ht="11.25" customHeight="1" x14ac:dyDescent="0.2">
      <c r="A105" s="48" t="str">
        <f t="shared" si="7"/>
        <v>2021</v>
      </c>
      <c r="B105" s="48" t="str">
        <f t="shared" si="12"/>
        <v>21 Spr</v>
      </c>
      <c r="C105" s="55" t="s">
        <v>129</v>
      </c>
      <c r="D105" s="56" t="s">
        <v>163</v>
      </c>
      <c r="E105" s="56" t="str">
        <f t="shared" si="8"/>
        <v>HSA 6717
Adv Hlth Mgt Res Sem 2021</v>
      </c>
      <c r="F105" s="66" t="s">
        <v>113</v>
      </c>
      <c r="G105" s="58">
        <v>12</v>
      </c>
      <c r="H105" s="59">
        <v>2</v>
      </c>
      <c r="I105" s="60" t="s">
        <v>112</v>
      </c>
      <c r="J105" s="61" t="s">
        <v>97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72">
        <f t="shared" si="9"/>
        <v>5</v>
      </c>
      <c r="Q105" s="88" t="str" cm="1">
        <f t="array" ref="Q105">_xlfn.IFS(P105&gt;4,"Excelent",AND(P105&gt;3,P105&lt;=4),"Very Good",AND(P105&gt;2,P105&lt;=3),"Good",AND(P105&gt;1,P105&lt;=2),"Fair")</f>
        <v>Excelent</v>
      </c>
      <c r="R105" s="63">
        <f t="shared" si="10"/>
        <v>1</v>
      </c>
    </row>
    <row r="106" spans="1:19" ht="11.25" customHeight="1" x14ac:dyDescent="0.2">
      <c r="A106" s="48" t="str">
        <f t="shared" si="7"/>
        <v>2021</v>
      </c>
      <c r="B106" s="48" t="str">
        <f t="shared" si="12"/>
        <v>21 Spr</v>
      </c>
      <c r="C106" s="55" t="s">
        <v>129</v>
      </c>
      <c r="D106" s="56" t="s">
        <v>163</v>
      </c>
      <c r="E106" s="56" t="str">
        <f t="shared" si="8"/>
        <v>HSA 6717
Adv Hlth Mgt Res Sem 2021</v>
      </c>
      <c r="F106" s="57" t="s">
        <v>130</v>
      </c>
      <c r="G106" s="58">
        <v>33</v>
      </c>
      <c r="H106" s="59">
        <v>9</v>
      </c>
      <c r="I106" s="60" t="s">
        <v>111</v>
      </c>
      <c r="J106" s="61" t="s">
        <v>90</v>
      </c>
      <c r="K106" s="62">
        <v>0.66700000000000004</v>
      </c>
      <c r="L106" s="62">
        <v>0.111</v>
      </c>
      <c r="M106" s="62">
        <v>0.222</v>
      </c>
      <c r="N106" s="62">
        <v>0</v>
      </c>
      <c r="O106" s="62">
        <v>0</v>
      </c>
      <c r="P106" s="72">
        <f t="shared" si="9"/>
        <v>4.4450000000000003</v>
      </c>
      <c r="Q106" s="88" t="str" cm="1">
        <f t="array" ref="Q106">_xlfn.IFS(P106&gt;4,"Excelent",AND(P106&gt;3,P106&lt;=4),"Very Good",AND(P106&gt;2,P106&lt;=3),"Good",AND(P106&gt;1,P106&lt;=2),"Fair")</f>
        <v>Excelent</v>
      </c>
      <c r="R106" s="63">
        <f t="shared" si="10"/>
        <v>0.77800000000000002</v>
      </c>
    </row>
    <row r="107" spans="1:19" ht="11.25" customHeight="1" x14ac:dyDescent="0.2">
      <c r="A107" s="48" t="str">
        <f t="shared" si="7"/>
        <v>2021</v>
      </c>
      <c r="B107" s="48" t="str">
        <f t="shared" si="12"/>
        <v>21 Spr</v>
      </c>
      <c r="C107" s="55" t="s">
        <v>129</v>
      </c>
      <c r="D107" s="56" t="s">
        <v>163</v>
      </c>
      <c r="E107" s="56" t="str">
        <f t="shared" si="8"/>
        <v>HSA 6717
Adv Hlth Mgt Res Sem 2021</v>
      </c>
      <c r="F107" s="57" t="s">
        <v>130</v>
      </c>
      <c r="G107" s="58">
        <v>33</v>
      </c>
      <c r="H107" s="59">
        <v>9</v>
      </c>
      <c r="I107" s="60" t="s">
        <v>111</v>
      </c>
      <c r="J107" s="61" t="s">
        <v>91</v>
      </c>
      <c r="K107" s="62">
        <v>0.55600000000000005</v>
      </c>
      <c r="L107" s="62">
        <v>0.222</v>
      </c>
      <c r="M107" s="62">
        <v>0</v>
      </c>
      <c r="N107" s="62">
        <v>0.111</v>
      </c>
      <c r="O107" s="62">
        <v>0.111</v>
      </c>
      <c r="P107" s="72">
        <f t="shared" si="9"/>
        <v>4.0010000000000003</v>
      </c>
      <c r="Q107" s="88" t="str" cm="1">
        <f t="array" ref="Q107">_xlfn.IFS(P107&gt;4,"Excelent",AND(P107&gt;3,P107&lt;=4),"Very Good",AND(P107&gt;2,P107&lt;=3),"Good",AND(P107&gt;1,P107&lt;=2),"Fair")</f>
        <v>Excelent</v>
      </c>
      <c r="R107" s="63">
        <f t="shared" si="10"/>
        <v>0.77800000000000002</v>
      </c>
    </row>
    <row r="108" spans="1:19" ht="11.25" customHeight="1" x14ac:dyDescent="0.2">
      <c r="A108" s="48" t="str">
        <f t="shared" si="7"/>
        <v>2021</v>
      </c>
      <c r="B108" s="48" t="str">
        <f t="shared" si="12"/>
        <v>21 Spr</v>
      </c>
      <c r="C108" s="55" t="s">
        <v>129</v>
      </c>
      <c r="D108" s="56" t="s">
        <v>163</v>
      </c>
      <c r="E108" s="56" t="str">
        <f t="shared" si="8"/>
        <v>HSA 6717
Adv Hlth Mgt Res Sem 2021</v>
      </c>
      <c r="F108" s="57" t="s">
        <v>130</v>
      </c>
      <c r="G108" s="58">
        <v>33</v>
      </c>
      <c r="H108" s="59">
        <v>9</v>
      </c>
      <c r="I108" s="60" t="s">
        <v>111</v>
      </c>
      <c r="J108" s="61" t="s">
        <v>92</v>
      </c>
      <c r="K108" s="62">
        <v>0.55600000000000005</v>
      </c>
      <c r="L108" s="62">
        <v>0.222</v>
      </c>
      <c r="M108" s="62">
        <v>0.222</v>
      </c>
      <c r="N108" s="62">
        <v>0</v>
      </c>
      <c r="O108" s="62">
        <v>0</v>
      </c>
      <c r="P108" s="72">
        <f t="shared" si="9"/>
        <v>4.3340000000000005</v>
      </c>
      <c r="Q108" s="88" t="str" cm="1">
        <f t="array" ref="Q108">_xlfn.IFS(P108&gt;4,"Excelent",AND(P108&gt;3,P108&lt;=4),"Very Good",AND(P108&gt;2,P108&lt;=3),"Good",AND(P108&gt;1,P108&lt;=2),"Fair")</f>
        <v>Excelent</v>
      </c>
      <c r="R108" s="63">
        <f t="shared" si="10"/>
        <v>0.77800000000000002</v>
      </c>
    </row>
    <row r="109" spans="1:19" ht="11.25" customHeight="1" x14ac:dyDescent="0.2">
      <c r="A109" s="48" t="str">
        <f t="shared" si="7"/>
        <v>2021</v>
      </c>
      <c r="B109" s="48" t="str">
        <f t="shared" si="12"/>
        <v>21 Spr</v>
      </c>
      <c r="C109" s="55" t="s">
        <v>129</v>
      </c>
      <c r="D109" s="56" t="s">
        <v>163</v>
      </c>
      <c r="E109" s="56" t="str">
        <f t="shared" si="8"/>
        <v>HSA 6717
Adv Hlth Mgt Res Sem 2021</v>
      </c>
      <c r="F109" s="57" t="s">
        <v>130</v>
      </c>
      <c r="G109" s="58">
        <v>33</v>
      </c>
      <c r="H109" s="59">
        <v>9</v>
      </c>
      <c r="I109" s="60" t="s">
        <v>111</v>
      </c>
      <c r="J109" s="61" t="s">
        <v>93</v>
      </c>
      <c r="K109" s="62">
        <v>0.44400000000000001</v>
      </c>
      <c r="L109" s="62">
        <v>0.33300000000000002</v>
      </c>
      <c r="M109" s="62">
        <v>0.111</v>
      </c>
      <c r="N109" s="62">
        <v>0</v>
      </c>
      <c r="O109" s="62">
        <v>0</v>
      </c>
      <c r="P109" s="72">
        <f t="shared" si="9"/>
        <v>3.8850000000000007</v>
      </c>
      <c r="Q109" s="88" t="str" cm="1">
        <f t="array" ref="Q109">_xlfn.IFS(P109&gt;4,"Excelent",AND(P109&gt;3,P109&lt;=4),"Very Good",AND(P109&gt;2,P109&lt;=3),"Good",AND(P109&gt;1,P109&lt;=2),"Fair")</f>
        <v>Very Good</v>
      </c>
      <c r="R109" s="63">
        <f t="shared" si="10"/>
        <v>0.77700000000000002</v>
      </c>
    </row>
    <row r="110" spans="1:19" ht="11.25" customHeight="1" x14ac:dyDescent="0.2">
      <c r="A110" s="48" t="str">
        <f t="shared" si="7"/>
        <v>2021</v>
      </c>
      <c r="B110" s="48" t="str">
        <f t="shared" si="12"/>
        <v>21 Spr</v>
      </c>
      <c r="C110" s="55" t="s">
        <v>129</v>
      </c>
      <c r="D110" s="56" t="s">
        <v>163</v>
      </c>
      <c r="E110" s="56" t="str">
        <f t="shared" si="8"/>
        <v>HSA 6717
Adv Hlth Mgt Res Sem 2021</v>
      </c>
      <c r="F110" s="57" t="s">
        <v>130</v>
      </c>
      <c r="G110" s="58">
        <v>33</v>
      </c>
      <c r="H110" s="59">
        <v>9</v>
      </c>
      <c r="I110" s="60" t="s">
        <v>111</v>
      </c>
      <c r="J110" s="61" t="s">
        <v>94</v>
      </c>
      <c r="K110" s="62">
        <v>0.55600000000000005</v>
      </c>
      <c r="L110" s="62">
        <v>0.111</v>
      </c>
      <c r="M110" s="62">
        <v>0.222</v>
      </c>
      <c r="N110" s="62">
        <v>0.111</v>
      </c>
      <c r="O110" s="62">
        <v>0</v>
      </c>
      <c r="P110" s="72">
        <f t="shared" si="9"/>
        <v>4.1120000000000001</v>
      </c>
      <c r="Q110" s="88" t="str" cm="1">
        <f t="array" ref="Q110">_xlfn.IFS(P110&gt;4,"Excelent",AND(P110&gt;3,P110&lt;=4),"Very Good",AND(P110&gt;2,P110&lt;=3),"Good",AND(P110&gt;1,P110&lt;=2),"Fair")</f>
        <v>Excelent</v>
      </c>
      <c r="R110" s="63">
        <f t="shared" si="10"/>
        <v>0.66700000000000004</v>
      </c>
    </row>
    <row r="111" spans="1:19" ht="11.25" customHeight="1" x14ac:dyDescent="0.2">
      <c r="A111" s="48" t="str">
        <f t="shared" si="7"/>
        <v>2021</v>
      </c>
      <c r="B111" s="48" t="str">
        <f t="shared" si="12"/>
        <v>21 Spr</v>
      </c>
      <c r="C111" s="55" t="s">
        <v>129</v>
      </c>
      <c r="D111" s="56" t="s">
        <v>163</v>
      </c>
      <c r="E111" s="56" t="str">
        <f t="shared" si="8"/>
        <v>HSA 6717
Adv Hlth Mgt Res Sem 2021</v>
      </c>
      <c r="F111" s="57" t="s">
        <v>130</v>
      </c>
      <c r="G111" s="58">
        <v>33</v>
      </c>
      <c r="H111" s="59">
        <v>9</v>
      </c>
      <c r="I111" s="60" t="s">
        <v>111</v>
      </c>
      <c r="J111" s="61" t="s">
        <v>95</v>
      </c>
      <c r="K111" s="62">
        <v>0.77800000000000002</v>
      </c>
      <c r="L111" s="62">
        <v>0.111</v>
      </c>
      <c r="M111" s="62">
        <v>0.111</v>
      </c>
      <c r="N111" s="62">
        <v>0</v>
      </c>
      <c r="O111" s="62">
        <v>0</v>
      </c>
      <c r="P111" s="72">
        <f t="shared" si="9"/>
        <v>4.6670000000000007</v>
      </c>
      <c r="Q111" s="88" t="str" cm="1">
        <f t="array" ref="Q111">_xlfn.IFS(P111&gt;4,"Excelent",AND(P111&gt;3,P111&lt;=4),"Very Good",AND(P111&gt;2,P111&lt;=3),"Good",AND(P111&gt;1,P111&lt;=2),"Fair")</f>
        <v>Excelent</v>
      </c>
      <c r="R111" s="63">
        <f t="shared" si="10"/>
        <v>0.88900000000000001</v>
      </c>
    </row>
    <row r="112" spans="1:19" ht="11.25" customHeight="1" x14ac:dyDescent="0.2">
      <c r="A112" s="48" t="str">
        <f t="shared" si="7"/>
        <v>2021</v>
      </c>
      <c r="B112" s="48" t="str">
        <f t="shared" si="12"/>
        <v>21 Spr</v>
      </c>
      <c r="C112" s="55" t="s">
        <v>129</v>
      </c>
      <c r="D112" s="56" t="s">
        <v>163</v>
      </c>
      <c r="E112" s="56" t="str">
        <f t="shared" si="8"/>
        <v>HSA 6717
Adv Hlth Mgt Res Sem 2021</v>
      </c>
      <c r="F112" s="57" t="s">
        <v>130</v>
      </c>
      <c r="G112" s="58">
        <v>33</v>
      </c>
      <c r="H112" s="59">
        <v>9</v>
      </c>
      <c r="I112" s="60" t="s">
        <v>111</v>
      </c>
      <c r="J112" s="61" t="s">
        <v>96</v>
      </c>
      <c r="K112" s="62">
        <v>0.88900000000000001</v>
      </c>
      <c r="L112" s="62">
        <v>0</v>
      </c>
      <c r="M112" s="62">
        <v>0.111</v>
      </c>
      <c r="N112" s="62">
        <v>0</v>
      </c>
      <c r="O112" s="62">
        <v>0</v>
      </c>
      <c r="P112" s="72">
        <f t="shared" si="9"/>
        <v>4.7780000000000005</v>
      </c>
      <c r="Q112" s="88" t="str" cm="1">
        <f t="array" ref="Q112">_xlfn.IFS(P112&gt;4,"Excelent",AND(P112&gt;3,P112&lt;=4),"Very Good",AND(P112&gt;2,P112&lt;=3),"Good",AND(P112&gt;1,P112&lt;=2),"Fair")</f>
        <v>Excelent</v>
      </c>
      <c r="R112" s="63">
        <f t="shared" si="10"/>
        <v>0.88900000000000001</v>
      </c>
    </row>
    <row r="113" spans="1:18" ht="11.25" customHeight="1" x14ac:dyDescent="0.2">
      <c r="A113" s="48" t="str">
        <f t="shared" si="7"/>
        <v>2021</v>
      </c>
      <c r="B113" s="48" t="str">
        <f t="shared" si="12"/>
        <v>21 Spr</v>
      </c>
      <c r="C113" s="55" t="s">
        <v>129</v>
      </c>
      <c r="D113" s="56" t="s">
        <v>163</v>
      </c>
      <c r="E113" s="56" t="str">
        <f t="shared" si="8"/>
        <v>HSA 6930
Pro Seminar Hlth Mgt 2021</v>
      </c>
      <c r="F113" s="57" t="s">
        <v>130</v>
      </c>
      <c r="G113" s="58">
        <v>33</v>
      </c>
      <c r="H113" s="59">
        <v>9</v>
      </c>
      <c r="I113" s="60" t="s">
        <v>111</v>
      </c>
      <c r="J113" s="61" t="s">
        <v>97</v>
      </c>
      <c r="K113" s="65">
        <v>0.66700000000000004</v>
      </c>
      <c r="L113" s="65">
        <v>0.222</v>
      </c>
      <c r="M113" s="65">
        <v>0.111</v>
      </c>
      <c r="N113" s="65">
        <v>0</v>
      </c>
      <c r="O113" s="65">
        <v>0</v>
      </c>
      <c r="P113" s="72">
        <f t="shared" si="9"/>
        <v>4.556</v>
      </c>
      <c r="Q113" s="88" t="str" cm="1">
        <f t="array" ref="Q113">_xlfn.IFS(P113&gt;4,"Excelent",AND(P113&gt;3,P113&lt;=4),"Very Good",AND(P113&gt;2,P113&lt;=3),"Good",AND(P113&gt;1,P113&lt;=2),"Fair")</f>
        <v>Excelent</v>
      </c>
      <c r="R113" s="63">
        <f t="shared" si="10"/>
        <v>0.88900000000000001</v>
      </c>
    </row>
    <row r="114" spans="1:18" ht="11.25" customHeight="1" x14ac:dyDescent="0.2">
      <c r="A114" s="48" t="str">
        <f t="shared" si="7"/>
        <v>2021</v>
      </c>
      <c r="B114" s="48" t="str">
        <f t="shared" si="12"/>
        <v>21 Spr</v>
      </c>
      <c r="C114" s="55" t="s">
        <v>129</v>
      </c>
      <c r="D114" s="56" t="s">
        <v>164</v>
      </c>
      <c r="E114" s="56" t="str">
        <f t="shared" si="8"/>
        <v>HSA 6930
Pro Seminar Hlth Mgt 2021</v>
      </c>
      <c r="F114" s="57" t="s">
        <v>113</v>
      </c>
      <c r="G114" s="58">
        <v>12</v>
      </c>
      <c r="H114" s="59">
        <v>2</v>
      </c>
      <c r="I114" s="60" t="s">
        <v>112</v>
      </c>
      <c r="J114" s="61" t="s">
        <v>90</v>
      </c>
      <c r="K114" s="62">
        <v>1</v>
      </c>
      <c r="L114" s="62">
        <v>0</v>
      </c>
      <c r="M114" s="62">
        <v>0</v>
      </c>
      <c r="N114" s="62">
        <v>0</v>
      </c>
      <c r="O114" s="62">
        <v>0</v>
      </c>
      <c r="P114" s="72">
        <f t="shared" si="9"/>
        <v>5</v>
      </c>
      <c r="Q114" s="88" t="str" cm="1">
        <f t="array" ref="Q114">_xlfn.IFS(P114&gt;4,"Excelent",AND(P114&gt;3,P114&lt;=4),"Very Good",AND(P114&gt;2,P114&lt;=3),"Good",AND(P114&gt;1,P114&lt;=2),"Fair")</f>
        <v>Excelent</v>
      </c>
      <c r="R114" s="63">
        <f t="shared" si="10"/>
        <v>1</v>
      </c>
    </row>
    <row r="115" spans="1:18" ht="11.25" customHeight="1" x14ac:dyDescent="0.2">
      <c r="A115" s="48" t="str">
        <f t="shared" si="7"/>
        <v>2021</v>
      </c>
      <c r="B115" s="48" t="str">
        <f t="shared" si="12"/>
        <v>21 Spr</v>
      </c>
      <c r="C115" s="55" t="s">
        <v>129</v>
      </c>
      <c r="D115" s="56" t="s">
        <v>164</v>
      </c>
      <c r="E115" s="56" t="str">
        <f t="shared" si="8"/>
        <v>HSA 6930
Pro Seminar Hlth Mgt 2021</v>
      </c>
      <c r="F115" s="57" t="s">
        <v>113</v>
      </c>
      <c r="G115" s="58">
        <v>12</v>
      </c>
      <c r="H115" s="59">
        <v>2</v>
      </c>
      <c r="I115" s="60" t="s">
        <v>112</v>
      </c>
      <c r="J115" s="61" t="s">
        <v>91</v>
      </c>
      <c r="K115" s="62">
        <v>1</v>
      </c>
      <c r="L115" s="62">
        <v>0</v>
      </c>
      <c r="M115" s="62">
        <v>0</v>
      </c>
      <c r="N115" s="62">
        <v>0</v>
      </c>
      <c r="O115" s="62">
        <v>0</v>
      </c>
      <c r="P115" s="72">
        <f t="shared" si="9"/>
        <v>5</v>
      </c>
      <c r="Q115" s="88" t="str" cm="1">
        <f t="array" ref="Q115">_xlfn.IFS(P115&gt;4,"Excelent",AND(P115&gt;3,P115&lt;=4),"Very Good",AND(P115&gt;2,P115&lt;=3),"Good",AND(P115&gt;1,P115&lt;=2),"Fair")</f>
        <v>Excelent</v>
      </c>
      <c r="R115" s="63">
        <f t="shared" si="10"/>
        <v>1</v>
      </c>
    </row>
    <row r="116" spans="1:18" ht="11.25" customHeight="1" x14ac:dyDescent="0.2">
      <c r="A116" s="48" t="str">
        <f t="shared" si="7"/>
        <v>2021</v>
      </c>
      <c r="B116" s="48" t="str">
        <f t="shared" si="12"/>
        <v>21 Spr</v>
      </c>
      <c r="C116" s="55" t="s">
        <v>129</v>
      </c>
      <c r="D116" s="56" t="s">
        <v>164</v>
      </c>
      <c r="E116" s="56" t="str">
        <f t="shared" si="8"/>
        <v>HSA 6930
Pro Seminar Hlth Mgt 2021</v>
      </c>
      <c r="F116" s="57" t="s">
        <v>113</v>
      </c>
      <c r="G116" s="58">
        <v>12</v>
      </c>
      <c r="H116" s="59">
        <v>2</v>
      </c>
      <c r="I116" s="60" t="s">
        <v>112</v>
      </c>
      <c r="J116" s="61" t="s">
        <v>92</v>
      </c>
      <c r="K116" s="62">
        <v>1</v>
      </c>
      <c r="L116" s="62">
        <v>0</v>
      </c>
      <c r="M116" s="62">
        <v>0</v>
      </c>
      <c r="N116" s="62">
        <v>0</v>
      </c>
      <c r="O116" s="62">
        <v>0</v>
      </c>
      <c r="P116" s="72">
        <f t="shared" si="9"/>
        <v>5</v>
      </c>
      <c r="Q116" s="88" t="str" cm="1">
        <f t="array" ref="Q116">_xlfn.IFS(P116&gt;4,"Excelent",AND(P116&gt;3,P116&lt;=4),"Very Good",AND(P116&gt;2,P116&lt;=3),"Good",AND(P116&gt;1,P116&lt;=2),"Fair")</f>
        <v>Excelent</v>
      </c>
      <c r="R116" s="63">
        <f t="shared" si="10"/>
        <v>1</v>
      </c>
    </row>
    <row r="117" spans="1:18" ht="11.25" customHeight="1" x14ac:dyDescent="0.2">
      <c r="A117" s="48" t="str">
        <f t="shared" si="7"/>
        <v>2021</v>
      </c>
      <c r="B117" s="48" t="str">
        <f t="shared" si="12"/>
        <v>21 Spr</v>
      </c>
      <c r="C117" s="55" t="s">
        <v>129</v>
      </c>
      <c r="D117" s="56" t="s">
        <v>164</v>
      </c>
      <c r="E117" s="56" t="str">
        <f t="shared" si="8"/>
        <v>HSA 6930
Pro Seminar Hlth Mgt 2021</v>
      </c>
      <c r="F117" s="57" t="s">
        <v>113</v>
      </c>
      <c r="G117" s="58">
        <v>12</v>
      </c>
      <c r="H117" s="59">
        <v>2</v>
      </c>
      <c r="I117" s="60" t="s">
        <v>112</v>
      </c>
      <c r="J117" s="61" t="s">
        <v>93</v>
      </c>
      <c r="K117" s="62">
        <v>1</v>
      </c>
      <c r="L117" s="62">
        <v>0</v>
      </c>
      <c r="M117" s="62">
        <v>0</v>
      </c>
      <c r="N117" s="62">
        <v>0</v>
      </c>
      <c r="O117" s="62">
        <v>0</v>
      </c>
      <c r="P117" s="72">
        <f t="shared" si="9"/>
        <v>5</v>
      </c>
      <c r="Q117" s="88" t="str" cm="1">
        <f t="array" ref="Q117">_xlfn.IFS(P117&gt;4,"Excelent",AND(P117&gt;3,P117&lt;=4),"Very Good",AND(P117&gt;2,P117&lt;=3),"Good",AND(P117&gt;1,P117&lt;=2),"Fair")</f>
        <v>Excelent</v>
      </c>
      <c r="R117" s="63">
        <f t="shared" si="10"/>
        <v>1</v>
      </c>
    </row>
    <row r="118" spans="1:18" ht="11.25" customHeight="1" x14ac:dyDescent="0.2">
      <c r="A118" s="48" t="str">
        <f t="shared" si="7"/>
        <v>2021</v>
      </c>
      <c r="B118" s="48" t="str">
        <f t="shared" si="12"/>
        <v>21 Spr</v>
      </c>
      <c r="C118" s="55" t="s">
        <v>129</v>
      </c>
      <c r="D118" s="56" t="s">
        <v>164</v>
      </c>
      <c r="E118" s="56" t="str">
        <f t="shared" si="8"/>
        <v>HSA 6930
Pro Seminar Hlth Mgt 2021</v>
      </c>
      <c r="F118" s="57" t="s">
        <v>113</v>
      </c>
      <c r="G118" s="58">
        <v>12</v>
      </c>
      <c r="H118" s="59">
        <v>2</v>
      </c>
      <c r="I118" s="60" t="s">
        <v>112</v>
      </c>
      <c r="J118" s="61" t="s">
        <v>94</v>
      </c>
      <c r="K118" s="62">
        <v>1</v>
      </c>
      <c r="L118" s="62">
        <v>0</v>
      </c>
      <c r="M118" s="62">
        <v>0</v>
      </c>
      <c r="N118" s="62">
        <v>0</v>
      </c>
      <c r="O118" s="62">
        <v>0</v>
      </c>
      <c r="P118" s="72">
        <f t="shared" si="9"/>
        <v>5</v>
      </c>
      <c r="Q118" s="88" t="str" cm="1">
        <f t="array" ref="Q118">_xlfn.IFS(P118&gt;4,"Excelent",AND(P118&gt;3,P118&lt;=4),"Very Good",AND(P118&gt;2,P118&lt;=3),"Good",AND(P118&gt;1,P118&lt;=2),"Fair")</f>
        <v>Excelent</v>
      </c>
      <c r="R118" s="63">
        <f t="shared" si="10"/>
        <v>1</v>
      </c>
    </row>
    <row r="119" spans="1:18" ht="11.25" customHeight="1" x14ac:dyDescent="0.2">
      <c r="A119" s="48" t="str">
        <f t="shared" si="7"/>
        <v>2021</v>
      </c>
      <c r="B119" s="48" t="str">
        <f t="shared" si="12"/>
        <v>21 Spr</v>
      </c>
      <c r="C119" s="55" t="s">
        <v>129</v>
      </c>
      <c r="D119" s="56" t="s">
        <v>164</v>
      </c>
      <c r="E119" s="56" t="str">
        <f t="shared" si="8"/>
        <v>HSA 6930
Pro Seminar Hlth Mgt 2021</v>
      </c>
      <c r="F119" s="57" t="s">
        <v>113</v>
      </c>
      <c r="G119" s="58">
        <v>12</v>
      </c>
      <c r="H119" s="59">
        <v>2</v>
      </c>
      <c r="I119" s="60" t="s">
        <v>112</v>
      </c>
      <c r="J119" s="61" t="s">
        <v>95</v>
      </c>
      <c r="K119" s="62">
        <v>1</v>
      </c>
      <c r="L119" s="62">
        <v>0</v>
      </c>
      <c r="M119" s="62">
        <v>0</v>
      </c>
      <c r="N119" s="62">
        <v>0</v>
      </c>
      <c r="O119" s="62">
        <v>0</v>
      </c>
      <c r="P119" s="72">
        <f t="shared" si="9"/>
        <v>5</v>
      </c>
      <c r="Q119" s="88" t="str" cm="1">
        <f t="array" ref="Q119">_xlfn.IFS(P119&gt;4,"Excelent",AND(P119&gt;3,P119&lt;=4),"Very Good",AND(P119&gt;2,P119&lt;=3),"Good",AND(P119&gt;1,P119&lt;=2),"Fair")</f>
        <v>Excelent</v>
      </c>
      <c r="R119" s="63">
        <f t="shared" si="10"/>
        <v>1</v>
      </c>
    </row>
    <row r="120" spans="1:18" ht="11.25" customHeight="1" x14ac:dyDescent="0.2">
      <c r="A120" s="48" t="str">
        <f t="shared" si="7"/>
        <v>2021</v>
      </c>
      <c r="B120" s="48" t="str">
        <f t="shared" si="12"/>
        <v>21 Spr</v>
      </c>
      <c r="C120" s="55" t="s">
        <v>129</v>
      </c>
      <c r="D120" s="56" t="s">
        <v>164</v>
      </c>
      <c r="E120" s="56" t="str">
        <f t="shared" si="8"/>
        <v>HSA 6930
Pro Seminar Hlth Mgt 2021</v>
      </c>
      <c r="F120" s="57" t="s">
        <v>113</v>
      </c>
      <c r="G120" s="58">
        <v>12</v>
      </c>
      <c r="H120" s="59">
        <v>2</v>
      </c>
      <c r="I120" s="60" t="s">
        <v>112</v>
      </c>
      <c r="J120" s="61" t="s">
        <v>96</v>
      </c>
      <c r="K120" s="62">
        <v>1</v>
      </c>
      <c r="L120" s="62">
        <v>0</v>
      </c>
      <c r="M120" s="62">
        <v>0</v>
      </c>
      <c r="N120" s="62">
        <v>0</v>
      </c>
      <c r="O120" s="62">
        <v>0</v>
      </c>
      <c r="P120" s="72">
        <f t="shared" si="9"/>
        <v>5</v>
      </c>
      <c r="Q120" s="88" t="str" cm="1">
        <f t="array" ref="Q120">_xlfn.IFS(P120&gt;4,"Excelent",AND(P120&gt;3,P120&lt;=4),"Very Good",AND(P120&gt;2,P120&lt;=3),"Good",AND(P120&gt;1,P120&lt;=2),"Fair")</f>
        <v>Excelent</v>
      </c>
      <c r="R120" s="63">
        <f t="shared" si="10"/>
        <v>1</v>
      </c>
    </row>
    <row r="121" spans="1:18" ht="11.25" customHeight="1" x14ac:dyDescent="0.2">
      <c r="A121" s="48" t="str">
        <f t="shared" si="7"/>
        <v>2021</v>
      </c>
      <c r="B121" s="48" t="str">
        <f t="shared" si="12"/>
        <v>21 Spr</v>
      </c>
      <c r="C121" s="55" t="s">
        <v>129</v>
      </c>
      <c r="D121" s="56" t="s">
        <v>164</v>
      </c>
      <c r="E121" s="56" t="str">
        <f t="shared" si="8"/>
        <v>HSA 6930
Pro Seminar Hlth Mgt 2021</v>
      </c>
      <c r="F121" s="57" t="s">
        <v>113</v>
      </c>
      <c r="G121" s="58">
        <v>12</v>
      </c>
      <c r="H121" s="59">
        <v>2</v>
      </c>
      <c r="I121" s="60" t="s">
        <v>112</v>
      </c>
      <c r="J121" s="61" t="s">
        <v>97</v>
      </c>
      <c r="K121" s="65">
        <v>1</v>
      </c>
      <c r="L121" s="65">
        <v>0</v>
      </c>
      <c r="M121" s="65">
        <v>0</v>
      </c>
      <c r="N121" s="65">
        <v>0</v>
      </c>
      <c r="O121" s="65">
        <v>0</v>
      </c>
      <c r="P121" s="72">
        <f t="shared" si="9"/>
        <v>5</v>
      </c>
      <c r="Q121" s="88" t="str" cm="1">
        <f t="array" ref="Q121">_xlfn.IFS(P121&gt;4,"Excelent",AND(P121&gt;3,P121&lt;=4),"Very Good",AND(P121&gt;2,P121&lt;=3),"Good",AND(P121&gt;1,P121&lt;=2),"Fair")</f>
        <v>Excelent</v>
      </c>
      <c r="R121" s="63">
        <f t="shared" si="10"/>
        <v>1</v>
      </c>
    </row>
    <row r="122" spans="1:18" ht="11.25" customHeight="1" x14ac:dyDescent="0.2">
      <c r="A122" s="48" t="str">
        <f t="shared" si="7"/>
        <v>2021</v>
      </c>
      <c r="B122" s="48" t="str">
        <f t="shared" si="12"/>
        <v>21 Spr</v>
      </c>
      <c r="C122" s="55" t="s">
        <v>129</v>
      </c>
      <c r="D122" s="56" t="s">
        <v>164</v>
      </c>
      <c r="E122" s="56" t="str">
        <f t="shared" si="8"/>
        <v>HSA 6930
Pro Seminar Hlth Mgt 2021</v>
      </c>
      <c r="F122" s="57" t="s">
        <v>131</v>
      </c>
      <c r="G122" s="58">
        <v>32</v>
      </c>
      <c r="H122" s="59">
        <v>9</v>
      </c>
      <c r="I122" s="60" t="s">
        <v>111</v>
      </c>
      <c r="J122" s="61" t="s">
        <v>90</v>
      </c>
      <c r="K122" s="62">
        <v>0.66700000000000004</v>
      </c>
      <c r="L122" s="62">
        <v>0</v>
      </c>
      <c r="M122" s="62">
        <v>0.222</v>
      </c>
      <c r="N122" s="62">
        <v>0.111</v>
      </c>
      <c r="O122" s="62">
        <v>0</v>
      </c>
      <c r="P122" s="72">
        <f t="shared" si="9"/>
        <v>4.2230000000000008</v>
      </c>
      <c r="Q122" s="88" t="str" cm="1">
        <f t="array" ref="Q122">_xlfn.IFS(P122&gt;4,"Excelent",AND(P122&gt;3,P122&lt;=4),"Very Good",AND(P122&gt;2,P122&lt;=3),"Good",AND(P122&gt;1,P122&lt;=2),"Fair")</f>
        <v>Excelent</v>
      </c>
      <c r="R122" s="63">
        <f t="shared" si="10"/>
        <v>0.66700000000000004</v>
      </c>
    </row>
    <row r="123" spans="1:18" ht="11.25" customHeight="1" x14ac:dyDescent="0.2">
      <c r="A123" s="48" t="str">
        <f t="shared" si="7"/>
        <v>2021</v>
      </c>
      <c r="B123" s="48" t="str">
        <f t="shared" si="12"/>
        <v>21 Spr</v>
      </c>
      <c r="C123" s="55" t="s">
        <v>129</v>
      </c>
      <c r="D123" s="56" t="s">
        <v>164</v>
      </c>
      <c r="E123" s="56" t="str">
        <f t="shared" si="8"/>
        <v>HSA 6930
Pro Seminar Hlth Mgt 2021</v>
      </c>
      <c r="F123" s="57" t="s">
        <v>131</v>
      </c>
      <c r="G123" s="58">
        <v>32</v>
      </c>
      <c r="H123" s="59">
        <v>9</v>
      </c>
      <c r="I123" s="60" t="s">
        <v>111</v>
      </c>
      <c r="J123" s="61" t="s">
        <v>91</v>
      </c>
      <c r="K123" s="62">
        <v>0.66700000000000004</v>
      </c>
      <c r="L123" s="62">
        <v>0</v>
      </c>
      <c r="M123" s="62">
        <v>0.33300000000000002</v>
      </c>
      <c r="N123" s="62">
        <v>0</v>
      </c>
      <c r="O123" s="62">
        <v>0</v>
      </c>
      <c r="P123" s="72">
        <f t="shared" si="9"/>
        <v>4.3339999999999996</v>
      </c>
      <c r="Q123" s="88" t="str" cm="1">
        <f t="array" ref="Q123">_xlfn.IFS(P123&gt;4,"Excelent",AND(P123&gt;3,P123&lt;=4),"Very Good",AND(P123&gt;2,P123&lt;=3),"Good",AND(P123&gt;1,P123&lt;=2),"Fair")</f>
        <v>Excelent</v>
      </c>
      <c r="R123" s="63">
        <f t="shared" si="10"/>
        <v>0.66700000000000004</v>
      </c>
    </row>
    <row r="124" spans="1:18" ht="11.25" customHeight="1" x14ac:dyDescent="0.2">
      <c r="A124" s="48" t="str">
        <f t="shared" si="7"/>
        <v>2021</v>
      </c>
      <c r="B124" s="48" t="str">
        <f t="shared" si="12"/>
        <v>21 Spr</v>
      </c>
      <c r="C124" s="55" t="s">
        <v>129</v>
      </c>
      <c r="D124" s="56" t="s">
        <v>164</v>
      </c>
      <c r="E124" s="56" t="str">
        <f t="shared" si="8"/>
        <v>HSA 6930
Pro Seminar Hlth Mgt 2021</v>
      </c>
      <c r="F124" s="57" t="s">
        <v>131</v>
      </c>
      <c r="G124" s="58">
        <v>32</v>
      </c>
      <c r="H124" s="59">
        <v>9</v>
      </c>
      <c r="I124" s="60" t="s">
        <v>111</v>
      </c>
      <c r="J124" s="61" t="s">
        <v>92</v>
      </c>
      <c r="K124" s="62">
        <v>0.66700000000000004</v>
      </c>
      <c r="L124" s="62">
        <v>0</v>
      </c>
      <c r="M124" s="62">
        <v>0.33300000000000002</v>
      </c>
      <c r="N124" s="62">
        <v>0</v>
      </c>
      <c r="O124" s="62">
        <v>0</v>
      </c>
      <c r="P124" s="72">
        <f t="shared" si="9"/>
        <v>4.3339999999999996</v>
      </c>
      <c r="Q124" s="88" t="str" cm="1">
        <f t="array" ref="Q124">_xlfn.IFS(P124&gt;4,"Excelent",AND(P124&gt;3,P124&lt;=4),"Very Good",AND(P124&gt;2,P124&lt;=3),"Good",AND(P124&gt;1,P124&lt;=2),"Fair")</f>
        <v>Excelent</v>
      </c>
      <c r="R124" s="63">
        <f t="shared" si="10"/>
        <v>0.66700000000000004</v>
      </c>
    </row>
    <row r="125" spans="1:18" ht="11.25" customHeight="1" x14ac:dyDescent="0.2">
      <c r="A125" s="48" t="str">
        <f t="shared" si="7"/>
        <v>2021</v>
      </c>
      <c r="B125" s="48" t="str">
        <f t="shared" si="12"/>
        <v>21 Spr</v>
      </c>
      <c r="C125" s="55" t="s">
        <v>129</v>
      </c>
      <c r="D125" s="56" t="s">
        <v>164</v>
      </c>
      <c r="E125" s="56" t="str">
        <f t="shared" si="8"/>
        <v>HSA 6930
Pro Seminar Hlth Mgt 2021</v>
      </c>
      <c r="F125" s="57" t="s">
        <v>131</v>
      </c>
      <c r="G125" s="58">
        <v>32</v>
      </c>
      <c r="H125" s="59">
        <v>9</v>
      </c>
      <c r="I125" s="60" t="s">
        <v>111</v>
      </c>
      <c r="J125" s="61" t="s">
        <v>93</v>
      </c>
      <c r="K125" s="62">
        <v>0.77800000000000002</v>
      </c>
      <c r="L125" s="62">
        <v>0</v>
      </c>
      <c r="M125" s="62">
        <v>0.222</v>
      </c>
      <c r="N125" s="62">
        <v>0</v>
      </c>
      <c r="O125" s="62">
        <v>0</v>
      </c>
      <c r="P125" s="72">
        <f t="shared" si="9"/>
        <v>4.556</v>
      </c>
      <c r="Q125" s="88" t="str" cm="1">
        <f t="array" ref="Q125">_xlfn.IFS(P125&gt;4,"Excelent",AND(P125&gt;3,P125&lt;=4),"Very Good",AND(P125&gt;2,P125&lt;=3),"Good",AND(P125&gt;1,P125&lt;=2),"Fair")</f>
        <v>Excelent</v>
      </c>
      <c r="R125" s="63">
        <f t="shared" si="10"/>
        <v>0.77800000000000002</v>
      </c>
    </row>
    <row r="126" spans="1:18" ht="11.25" customHeight="1" x14ac:dyDescent="0.2">
      <c r="A126" s="48" t="str">
        <f t="shared" si="7"/>
        <v>2021</v>
      </c>
      <c r="B126" s="48" t="str">
        <f t="shared" si="12"/>
        <v>21 Spr</v>
      </c>
      <c r="C126" s="55" t="s">
        <v>129</v>
      </c>
      <c r="D126" s="56" t="s">
        <v>164</v>
      </c>
      <c r="E126" s="56" t="str">
        <f t="shared" si="8"/>
        <v>HSA 6930
Pro Seminar Hlth Mgt 2021</v>
      </c>
      <c r="F126" s="57" t="s">
        <v>131</v>
      </c>
      <c r="G126" s="58">
        <v>32</v>
      </c>
      <c r="H126" s="59">
        <v>9</v>
      </c>
      <c r="I126" s="60" t="s">
        <v>111</v>
      </c>
      <c r="J126" s="61" t="s">
        <v>94</v>
      </c>
      <c r="K126" s="62">
        <v>0.66700000000000004</v>
      </c>
      <c r="L126" s="62">
        <v>0</v>
      </c>
      <c r="M126" s="62">
        <v>0.33300000000000002</v>
      </c>
      <c r="N126" s="62">
        <v>0</v>
      </c>
      <c r="O126" s="62">
        <v>0</v>
      </c>
      <c r="P126" s="72">
        <f t="shared" si="9"/>
        <v>4.3339999999999996</v>
      </c>
      <c r="Q126" s="88" t="str" cm="1">
        <f t="array" ref="Q126">_xlfn.IFS(P126&gt;4,"Excelent",AND(P126&gt;3,P126&lt;=4),"Very Good",AND(P126&gt;2,P126&lt;=3),"Good",AND(P126&gt;1,P126&lt;=2),"Fair")</f>
        <v>Excelent</v>
      </c>
      <c r="R126" s="63">
        <f t="shared" si="10"/>
        <v>0.66700000000000004</v>
      </c>
    </row>
    <row r="127" spans="1:18" ht="11.25" customHeight="1" x14ac:dyDescent="0.2">
      <c r="A127" s="48" t="str">
        <f t="shared" si="7"/>
        <v>2021</v>
      </c>
      <c r="B127" s="48" t="str">
        <f t="shared" si="12"/>
        <v>21 Spr</v>
      </c>
      <c r="C127" s="55" t="s">
        <v>129</v>
      </c>
      <c r="D127" s="56" t="s">
        <v>164</v>
      </c>
      <c r="E127" s="56" t="str">
        <f t="shared" si="8"/>
        <v>HSA 6930
Pro Seminar Hlth Mgt 2021</v>
      </c>
      <c r="F127" s="57" t="s">
        <v>131</v>
      </c>
      <c r="G127" s="58">
        <v>32</v>
      </c>
      <c r="H127" s="59">
        <v>9</v>
      </c>
      <c r="I127" s="60" t="s">
        <v>111</v>
      </c>
      <c r="J127" s="61" t="s">
        <v>95</v>
      </c>
      <c r="K127" s="62">
        <v>0.77800000000000002</v>
      </c>
      <c r="L127" s="62">
        <v>0</v>
      </c>
      <c r="M127" s="62">
        <v>0.222</v>
      </c>
      <c r="N127" s="62">
        <v>0</v>
      </c>
      <c r="O127" s="62">
        <v>0</v>
      </c>
      <c r="P127" s="72">
        <f t="shared" si="9"/>
        <v>4.556</v>
      </c>
      <c r="Q127" s="88" t="str" cm="1">
        <f t="array" ref="Q127">_xlfn.IFS(P127&gt;4,"Excelent",AND(P127&gt;3,P127&lt;=4),"Very Good",AND(P127&gt;2,P127&lt;=3),"Good",AND(P127&gt;1,P127&lt;=2),"Fair")</f>
        <v>Excelent</v>
      </c>
      <c r="R127" s="63">
        <f t="shared" si="10"/>
        <v>0.77800000000000002</v>
      </c>
    </row>
    <row r="128" spans="1:18" ht="11.25" customHeight="1" x14ac:dyDescent="0.2">
      <c r="A128" s="48" t="str">
        <f t="shared" si="7"/>
        <v>2021</v>
      </c>
      <c r="B128" s="48" t="str">
        <f t="shared" si="12"/>
        <v>21 Spr</v>
      </c>
      <c r="C128" s="55" t="s">
        <v>129</v>
      </c>
      <c r="D128" s="56" t="s">
        <v>164</v>
      </c>
      <c r="E128" s="56" t="str">
        <f t="shared" si="8"/>
        <v>HSA 6930
Pro Seminar Hlth Mgt 2021</v>
      </c>
      <c r="F128" s="57" t="s">
        <v>131</v>
      </c>
      <c r="G128" s="58">
        <v>32</v>
      </c>
      <c r="H128" s="59">
        <v>9</v>
      </c>
      <c r="I128" s="60" t="s">
        <v>111</v>
      </c>
      <c r="J128" s="61" t="s">
        <v>96</v>
      </c>
      <c r="K128" s="62">
        <v>0.88900000000000001</v>
      </c>
      <c r="L128" s="62">
        <v>0</v>
      </c>
      <c r="M128" s="62">
        <v>0.111</v>
      </c>
      <c r="N128" s="62">
        <v>0</v>
      </c>
      <c r="O128" s="62">
        <v>0</v>
      </c>
      <c r="P128" s="72">
        <f t="shared" si="9"/>
        <v>4.7780000000000005</v>
      </c>
      <c r="Q128" s="88" t="str" cm="1">
        <f t="array" ref="Q128">_xlfn.IFS(P128&gt;4,"Excelent",AND(P128&gt;3,P128&lt;=4),"Very Good",AND(P128&gt;2,P128&lt;=3),"Good",AND(P128&gt;1,P128&lt;=2),"Fair")</f>
        <v>Excelent</v>
      </c>
      <c r="R128" s="63">
        <f t="shared" si="10"/>
        <v>0.88900000000000001</v>
      </c>
    </row>
    <row r="129" spans="1:19" s="75" customFormat="1" ht="11.25" customHeight="1" x14ac:dyDescent="0.25">
      <c r="A129" s="75" t="str">
        <f t="shared" si="7"/>
        <v>2021</v>
      </c>
      <c r="B129" s="75" t="str">
        <f t="shared" si="12"/>
        <v>21 Spr</v>
      </c>
      <c r="C129" s="76" t="s">
        <v>129</v>
      </c>
      <c r="D129" s="76" t="s">
        <v>104</v>
      </c>
      <c r="E129" s="76" t="str">
        <f t="shared" si="8"/>
        <v>HSA 6717
Adv Hlth Mgt Res Sem 2021</v>
      </c>
      <c r="F129" s="77" t="s">
        <v>131</v>
      </c>
      <c r="G129" s="78">
        <v>32</v>
      </c>
      <c r="H129" s="79">
        <v>9</v>
      </c>
      <c r="I129" s="80" t="s">
        <v>111</v>
      </c>
      <c r="J129" s="81" t="s">
        <v>97</v>
      </c>
      <c r="K129" s="82">
        <v>0.66700000000000004</v>
      </c>
      <c r="L129" s="82">
        <v>0.111</v>
      </c>
      <c r="M129" s="82">
        <v>0.222</v>
      </c>
      <c r="N129" s="82">
        <v>0</v>
      </c>
      <c r="O129" s="82">
        <v>0</v>
      </c>
      <c r="P129" s="83">
        <f t="shared" si="9"/>
        <v>4.4450000000000003</v>
      </c>
      <c r="Q129" s="88" t="str" cm="1">
        <f t="array" ref="Q129">_xlfn.IFS(P129&gt;4,"Excelent",AND(P129&gt;3,P129&lt;=4),"Very Good",AND(P129&gt;2,P129&lt;=3),"Good",AND(P129&gt;1,P129&lt;=2),"Fair")</f>
        <v>Excelent</v>
      </c>
      <c r="R129" s="84">
        <f t="shared" si="10"/>
        <v>0.77800000000000002</v>
      </c>
      <c r="S129" s="75">
        <f>AVERAGE(P98:P129)</f>
        <v>4.6980625000000007</v>
      </c>
    </row>
    <row r="130" spans="1:19" ht="11.25" customHeight="1" x14ac:dyDescent="0.2">
      <c r="A130" s="48" t="str">
        <f t="shared" si="7"/>
        <v>2020</v>
      </c>
      <c r="B130" s="48" t="str">
        <f t="shared" si="12"/>
        <v>20 Sum</v>
      </c>
      <c r="C130" s="55" t="s">
        <v>124</v>
      </c>
      <c r="D130" s="56" t="s">
        <v>163</v>
      </c>
      <c r="E130" s="56" t="str">
        <f t="shared" si="8"/>
        <v>HSA 6717
Adv Hlth Mgt Res Sem 2020</v>
      </c>
      <c r="F130" s="57" t="s">
        <v>126</v>
      </c>
      <c r="G130" s="58">
        <v>7</v>
      </c>
      <c r="H130" s="59">
        <v>4</v>
      </c>
      <c r="I130" s="60" t="s">
        <v>109</v>
      </c>
      <c r="J130" s="61" t="s">
        <v>90</v>
      </c>
      <c r="K130" s="62">
        <v>0.5</v>
      </c>
      <c r="L130" s="62">
        <v>0.25</v>
      </c>
      <c r="M130" s="62">
        <v>0</v>
      </c>
      <c r="N130" s="62">
        <v>0.25</v>
      </c>
      <c r="O130" s="62">
        <v>0</v>
      </c>
      <c r="P130" s="72">
        <f t="shared" si="9"/>
        <v>4</v>
      </c>
      <c r="Q130" s="88" t="str" cm="1">
        <f t="array" ref="Q130">_xlfn.IFS(P130&gt;4,"Excelent",AND(P130&gt;3,P130&lt;=4),"Very Good",AND(P130&gt;2,P130&lt;=3),"Good",AND(P130&gt;1,P130&lt;=2),"Fair")</f>
        <v>Very Good</v>
      </c>
      <c r="R130" s="63">
        <f t="shared" si="10"/>
        <v>0.75</v>
      </c>
    </row>
    <row r="131" spans="1:19" ht="11.25" customHeight="1" x14ac:dyDescent="0.2">
      <c r="A131" s="48" t="str">
        <f t="shared" ref="A131:A194" si="13">RIGHT(C131,4)</f>
        <v>2020</v>
      </c>
      <c r="B131" s="48" t="str">
        <f t="shared" si="12"/>
        <v>20 Sum</v>
      </c>
      <c r="C131" s="55" t="s">
        <v>124</v>
      </c>
      <c r="D131" s="56" t="s">
        <v>163</v>
      </c>
      <c r="E131" s="56" t="str">
        <f t="shared" ref="E131:E194" si="14">_xlfn.CONCAT(D132, " ", A131)</f>
        <v>HSA 6717
Adv Hlth Mgt Res Sem 2020</v>
      </c>
      <c r="F131" s="57" t="s">
        <v>126</v>
      </c>
      <c r="G131" s="58">
        <v>7</v>
      </c>
      <c r="H131" s="59">
        <v>4</v>
      </c>
      <c r="I131" s="60" t="s">
        <v>109</v>
      </c>
      <c r="J131" s="61" t="s">
        <v>91</v>
      </c>
      <c r="K131" s="62">
        <v>0.5</v>
      </c>
      <c r="L131" s="62">
        <v>0.25</v>
      </c>
      <c r="M131" s="62">
        <v>0</v>
      </c>
      <c r="N131" s="62">
        <v>0.25</v>
      </c>
      <c r="O131" s="62">
        <v>0</v>
      </c>
      <c r="P131" s="72">
        <f t="shared" ref="P131:P194" si="15">(5*K131)+(4*L131)+(3*M131)+(2*N131)+O131</f>
        <v>4</v>
      </c>
      <c r="Q131" s="88" t="str" cm="1">
        <f t="array" ref="Q131">_xlfn.IFS(P131&gt;4,"Excelent",AND(P131&gt;3,P131&lt;=4),"Very Good",AND(P131&gt;2,P131&lt;=3),"Good",AND(P131&gt;1,P131&lt;=2),"Fair")</f>
        <v>Very Good</v>
      </c>
      <c r="R131" s="63">
        <f t="shared" ref="R131:R194" si="16">K131+L131</f>
        <v>0.75</v>
      </c>
    </row>
    <row r="132" spans="1:19" ht="11.25" customHeight="1" x14ac:dyDescent="0.2">
      <c r="A132" s="48" t="str">
        <f t="shared" si="13"/>
        <v>2020</v>
      </c>
      <c r="B132" s="48" t="str">
        <f t="shared" si="12"/>
        <v>20 Sum</v>
      </c>
      <c r="C132" s="55" t="s">
        <v>124</v>
      </c>
      <c r="D132" s="56" t="s">
        <v>163</v>
      </c>
      <c r="E132" s="56" t="str">
        <f t="shared" si="14"/>
        <v>HSA 6717
Adv Hlth Mgt Res Sem 2020</v>
      </c>
      <c r="F132" s="57" t="s">
        <v>126</v>
      </c>
      <c r="G132" s="58">
        <v>7</v>
      </c>
      <c r="H132" s="59">
        <v>4</v>
      </c>
      <c r="I132" s="60" t="s">
        <v>109</v>
      </c>
      <c r="J132" s="61" t="s">
        <v>92</v>
      </c>
      <c r="K132" s="62">
        <v>0.5</v>
      </c>
      <c r="L132" s="62">
        <v>0.25</v>
      </c>
      <c r="M132" s="62">
        <v>0</v>
      </c>
      <c r="N132" s="62">
        <v>0.25</v>
      </c>
      <c r="O132" s="62">
        <v>0</v>
      </c>
      <c r="P132" s="72">
        <f t="shared" si="15"/>
        <v>4</v>
      </c>
      <c r="Q132" s="88" t="str" cm="1">
        <f t="array" ref="Q132">_xlfn.IFS(P132&gt;4,"Excelent",AND(P132&gt;3,P132&lt;=4),"Very Good",AND(P132&gt;2,P132&lt;=3),"Good",AND(P132&gt;1,P132&lt;=2),"Fair")</f>
        <v>Very Good</v>
      </c>
      <c r="R132" s="63">
        <f t="shared" si="16"/>
        <v>0.75</v>
      </c>
    </row>
    <row r="133" spans="1:19" ht="11.25" customHeight="1" x14ac:dyDescent="0.2">
      <c r="A133" s="48" t="str">
        <f t="shared" si="13"/>
        <v>2020</v>
      </c>
      <c r="B133" s="48" t="str">
        <f t="shared" si="12"/>
        <v>20 Sum</v>
      </c>
      <c r="C133" s="55" t="s">
        <v>124</v>
      </c>
      <c r="D133" s="56" t="s">
        <v>163</v>
      </c>
      <c r="E133" s="56" t="str">
        <f t="shared" si="14"/>
        <v>HSA 6717
Adv Hlth Mgt Res Sem 2020</v>
      </c>
      <c r="F133" s="57" t="s">
        <v>126</v>
      </c>
      <c r="G133" s="58">
        <v>7</v>
      </c>
      <c r="H133" s="59">
        <v>4</v>
      </c>
      <c r="I133" s="60" t="s">
        <v>109</v>
      </c>
      <c r="J133" s="61" t="s">
        <v>93</v>
      </c>
      <c r="K133" s="62">
        <v>0.5</v>
      </c>
      <c r="L133" s="62">
        <v>0</v>
      </c>
      <c r="M133" s="62">
        <v>0.25</v>
      </c>
      <c r="N133" s="62">
        <v>0.25</v>
      </c>
      <c r="O133" s="62">
        <v>0</v>
      </c>
      <c r="P133" s="72">
        <f t="shared" si="15"/>
        <v>3.75</v>
      </c>
      <c r="Q133" s="88" t="str" cm="1">
        <f t="array" ref="Q133">_xlfn.IFS(P133&gt;4,"Excelent",AND(P133&gt;3,P133&lt;=4),"Very Good",AND(P133&gt;2,P133&lt;=3),"Good",AND(P133&gt;1,P133&lt;=2),"Fair")</f>
        <v>Very Good</v>
      </c>
      <c r="R133" s="63">
        <f t="shared" si="16"/>
        <v>0.5</v>
      </c>
    </row>
    <row r="134" spans="1:19" ht="11.25" customHeight="1" x14ac:dyDescent="0.2">
      <c r="A134" s="48" t="str">
        <f t="shared" si="13"/>
        <v>2020</v>
      </c>
      <c r="B134" s="48" t="str">
        <f t="shared" si="12"/>
        <v>20 Sum</v>
      </c>
      <c r="C134" s="55" t="s">
        <v>124</v>
      </c>
      <c r="D134" s="56" t="s">
        <v>163</v>
      </c>
      <c r="E134" s="56" t="str">
        <f t="shared" si="14"/>
        <v>HSA 6717
Adv Hlth Mgt Res Sem 2020</v>
      </c>
      <c r="F134" s="57" t="s">
        <v>126</v>
      </c>
      <c r="G134" s="58">
        <v>7</v>
      </c>
      <c r="H134" s="59">
        <v>4</v>
      </c>
      <c r="I134" s="60" t="s">
        <v>109</v>
      </c>
      <c r="J134" s="61" t="s">
        <v>94</v>
      </c>
      <c r="K134" s="62">
        <v>0.5</v>
      </c>
      <c r="L134" s="62">
        <v>0.25</v>
      </c>
      <c r="M134" s="62">
        <v>0</v>
      </c>
      <c r="N134" s="62">
        <v>0.25</v>
      </c>
      <c r="O134" s="62">
        <v>0</v>
      </c>
      <c r="P134" s="72">
        <f t="shared" si="15"/>
        <v>4</v>
      </c>
      <c r="Q134" s="88" t="str" cm="1">
        <f t="array" ref="Q134">_xlfn.IFS(P134&gt;4,"Excelent",AND(P134&gt;3,P134&lt;=4),"Very Good",AND(P134&gt;2,P134&lt;=3),"Good",AND(P134&gt;1,P134&lt;=2),"Fair")</f>
        <v>Very Good</v>
      </c>
      <c r="R134" s="63">
        <f t="shared" si="16"/>
        <v>0.75</v>
      </c>
    </row>
    <row r="135" spans="1:19" ht="11.25" customHeight="1" x14ac:dyDescent="0.2">
      <c r="A135" s="48" t="str">
        <f t="shared" si="13"/>
        <v>2020</v>
      </c>
      <c r="B135" s="48" t="str">
        <f t="shared" si="12"/>
        <v>20 Sum</v>
      </c>
      <c r="C135" s="55" t="s">
        <v>124</v>
      </c>
      <c r="D135" s="56" t="s">
        <v>163</v>
      </c>
      <c r="E135" s="56" t="str">
        <f t="shared" si="14"/>
        <v>HSA 6717
Adv Hlth Mgt Res Sem 2020</v>
      </c>
      <c r="F135" s="57" t="s">
        <v>126</v>
      </c>
      <c r="G135" s="58">
        <v>7</v>
      </c>
      <c r="H135" s="59">
        <v>4</v>
      </c>
      <c r="I135" s="60" t="s">
        <v>109</v>
      </c>
      <c r="J135" s="61" t="s">
        <v>95</v>
      </c>
      <c r="K135" s="62">
        <v>0.5</v>
      </c>
      <c r="L135" s="62">
        <v>0</v>
      </c>
      <c r="M135" s="62">
        <v>0.25</v>
      </c>
      <c r="N135" s="62">
        <v>0.25</v>
      </c>
      <c r="O135" s="62">
        <v>0</v>
      </c>
      <c r="P135" s="72">
        <f t="shared" si="15"/>
        <v>3.75</v>
      </c>
      <c r="Q135" s="88" t="str" cm="1">
        <f t="array" ref="Q135">_xlfn.IFS(P135&gt;4,"Excelent",AND(P135&gt;3,P135&lt;=4),"Very Good",AND(P135&gt;2,P135&lt;=3),"Good",AND(P135&gt;1,P135&lt;=2),"Fair")</f>
        <v>Very Good</v>
      </c>
      <c r="R135" s="63">
        <f t="shared" si="16"/>
        <v>0.5</v>
      </c>
    </row>
    <row r="136" spans="1:19" ht="11.25" customHeight="1" x14ac:dyDescent="0.2">
      <c r="A136" s="48" t="str">
        <f t="shared" si="13"/>
        <v>2020</v>
      </c>
      <c r="B136" s="48" t="str">
        <f t="shared" si="12"/>
        <v>20 Sum</v>
      </c>
      <c r="C136" s="55" t="s">
        <v>124</v>
      </c>
      <c r="D136" s="56" t="s">
        <v>163</v>
      </c>
      <c r="E136" s="56" t="str">
        <f t="shared" si="14"/>
        <v>HSA 6717
Adv Hlth Mgt Res Sem 2020</v>
      </c>
      <c r="F136" s="57" t="s">
        <v>126</v>
      </c>
      <c r="G136" s="58">
        <v>7</v>
      </c>
      <c r="H136" s="59">
        <v>4</v>
      </c>
      <c r="I136" s="60" t="s">
        <v>109</v>
      </c>
      <c r="J136" s="61" t="s">
        <v>96</v>
      </c>
      <c r="K136" s="62">
        <v>0.75</v>
      </c>
      <c r="L136" s="62">
        <v>0</v>
      </c>
      <c r="M136" s="62">
        <v>0</v>
      </c>
      <c r="N136" s="62">
        <v>0.25</v>
      </c>
      <c r="O136" s="62">
        <v>0</v>
      </c>
      <c r="P136" s="72">
        <f t="shared" si="15"/>
        <v>4.25</v>
      </c>
      <c r="Q136" s="88" t="str" cm="1">
        <f t="array" ref="Q136">_xlfn.IFS(P136&gt;4,"Excelent",AND(P136&gt;3,P136&lt;=4),"Very Good",AND(P136&gt;2,P136&lt;=3),"Good",AND(P136&gt;1,P136&lt;=2),"Fair")</f>
        <v>Excelent</v>
      </c>
      <c r="R136" s="63">
        <f t="shared" si="16"/>
        <v>0.75</v>
      </c>
    </row>
    <row r="137" spans="1:19" ht="11.25" customHeight="1" x14ac:dyDescent="0.2">
      <c r="A137" s="48" t="str">
        <f t="shared" si="13"/>
        <v>2020</v>
      </c>
      <c r="B137" s="48" t="str">
        <f t="shared" si="12"/>
        <v>20 Sum</v>
      </c>
      <c r="C137" s="55" t="s">
        <v>124</v>
      </c>
      <c r="D137" s="56" t="s">
        <v>163</v>
      </c>
      <c r="E137" s="56" t="str">
        <f t="shared" si="14"/>
        <v>HSA 6717
Adv Hlth Mgt Res Sem 2020</v>
      </c>
      <c r="F137" s="57" t="s">
        <v>126</v>
      </c>
      <c r="G137" s="58">
        <v>7</v>
      </c>
      <c r="H137" s="59">
        <v>4</v>
      </c>
      <c r="I137" s="60" t="s">
        <v>109</v>
      </c>
      <c r="J137" s="61" t="s">
        <v>97</v>
      </c>
      <c r="K137" s="65">
        <v>0.5</v>
      </c>
      <c r="L137" s="65">
        <v>0.25</v>
      </c>
      <c r="M137" s="65">
        <v>0</v>
      </c>
      <c r="N137" s="65">
        <v>0.25</v>
      </c>
      <c r="O137" s="65">
        <v>0</v>
      </c>
      <c r="P137" s="72">
        <f t="shared" si="15"/>
        <v>4</v>
      </c>
      <c r="Q137" s="88" t="str" cm="1">
        <f t="array" ref="Q137">_xlfn.IFS(P137&gt;4,"Excelent",AND(P137&gt;3,P137&lt;=4),"Very Good",AND(P137&gt;2,P137&lt;=3),"Good",AND(P137&gt;1,P137&lt;=2),"Fair")</f>
        <v>Very Good</v>
      </c>
      <c r="R137" s="63">
        <f t="shared" si="16"/>
        <v>0.75</v>
      </c>
    </row>
    <row r="138" spans="1:19" ht="11.25" customHeight="1" x14ac:dyDescent="0.2">
      <c r="A138" s="48" t="str">
        <f t="shared" si="13"/>
        <v>2020</v>
      </c>
      <c r="B138" s="48" t="str">
        <f t="shared" si="12"/>
        <v>20 Sum</v>
      </c>
      <c r="C138" s="55" t="s">
        <v>124</v>
      </c>
      <c r="D138" s="56" t="s">
        <v>163</v>
      </c>
      <c r="E138" s="56" t="str">
        <f t="shared" si="14"/>
        <v>HSA 6717
Adv Hlth Mgt Res Sem 2020</v>
      </c>
      <c r="F138" s="57" t="s">
        <v>149</v>
      </c>
      <c r="G138" s="58">
        <v>22</v>
      </c>
      <c r="H138" s="59">
        <v>12</v>
      </c>
      <c r="I138" s="60" t="s">
        <v>111</v>
      </c>
      <c r="J138" s="61" t="s">
        <v>90</v>
      </c>
      <c r="K138" s="62">
        <v>0.58299999999999996</v>
      </c>
      <c r="L138" s="62">
        <v>0.16700000000000001</v>
      </c>
      <c r="M138" s="62">
        <v>0.25</v>
      </c>
      <c r="N138" s="62">
        <v>0</v>
      </c>
      <c r="O138" s="62">
        <v>0</v>
      </c>
      <c r="P138" s="72">
        <f t="shared" si="15"/>
        <v>4.3330000000000002</v>
      </c>
      <c r="Q138" s="88" t="str" cm="1">
        <f t="array" ref="Q138">_xlfn.IFS(P138&gt;4,"Excelent",AND(P138&gt;3,P138&lt;=4),"Very Good",AND(P138&gt;2,P138&lt;=3),"Good",AND(P138&gt;1,P138&lt;=2),"Fair")</f>
        <v>Excelent</v>
      </c>
      <c r="R138" s="63">
        <f t="shared" si="16"/>
        <v>0.75</v>
      </c>
    </row>
    <row r="139" spans="1:19" ht="11.25" customHeight="1" x14ac:dyDescent="0.2">
      <c r="A139" s="48" t="str">
        <f t="shared" si="13"/>
        <v>2020</v>
      </c>
      <c r="B139" s="48" t="str">
        <f t="shared" si="12"/>
        <v>20 Sum</v>
      </c>
      <c r="C139" s="55" t="s">
        <v>124</v>
      </c>
      <c r="D139" s="56" t="s">
        <v>163</v>
      </c>
      <c r="E139" s="56" t="str">
        <f t="shared" si="14"/>
        <v>HSA 6717
Adv Hlth Mgt Res Sem 2020</v>
      </c>
      <c r="F139" s="57" t="s">
        <v>149</v>
      </c>
      <c r="G139" s="58">
        <v>22</v>
      </c>
      <c r="H139" s="59">
        <v>12</v>
      </c>
      <c r="I139" s="60" t="s">
        <v>111</v>
      </c>
      <c r="J139" s="61" t="s">
        <v>91</v>
      </c>
      <c r="K139" s="62">
        <v>0.58299999999999996</v>
      </c>
      <c r="L139" s="62">
        <v>8.3000000000000004E-2</v>
      </c>
      <c r="M139" s="62">
        <v>0.33300000000000002</v>
      </c>
      <c r="N139" s="62">
        <v>0</v>
      </c>
      <c r="O139" s="62">
        <v>0</v>
      </c>
      <c r="P139" s="72">
        <f t="shared" si="15"/>
        <v>4.2460000000000004</v>
      </c>
      <c r="Q139" s="88" t="str" cm="1">
        <f t="array" ref="Q139">_xlfn.IFS(P139&gt;4,"Excelent",AND(P139&gt;3,P139&lt;=4),"Very Good",AND(P139&gt;2,P139&lt;=3),"Good",AND(P139&gt;1,P139&lt;=2),"Fair")</f>
        <v>Excelent</v>
      </c>
      <c r="R139" s="63">
        <f t="shared" si="16"/>
        <v>0.66599999999999993</v>
      </c>
    </row>
    <row r="140" spans="1:19" ht="11.25" customHeight="1" x14ac:dyDescent="0.2">
      <c r="A140" s="48" t="str">
        <f t="shared" si="13"/>
        <v>2020</v>
      </c>
      <c r="B140" s="48" t="str">
        <f t="shared" si="12"/>
        <v>20 Sum</v>
      </c>
      <c r="C140" s="55" t="s">
        <v>124</v>
      </c>
      <c r="D140" s="56" t="s">
        <v>163</v>
      </c>
      <c r="E140" s="56" t="str">
        <f t="shared" si="14"/>
        <v>HSA 6717
Adv Hlth Mgt Res Sem 2020</v>
      </c>
      <c r="F140" s="57" t="s">
        <v>149</v>
      </c>
      <c r="G140" s="58">
        <v>22</v>
      </c>
      <c r="H140" s="59">
        <v>12</v>
      </c>
      <c r="I140" s="60" t="s">
        <v>111</v>
      </c>
      <c r="J140" s="61" t="s">
        <v>92</v>
      </c>
      <c r="K140" s="62">
        <v>0.58299999999999996</v>
      </c>
      <c r="L140" s="62">
        <v>8.3000000000000004E-2</v>
      </c>
      <c r="M140" s="62">
        <v>0.33300000000000002</v>
      </c>
      <c r="N140" s="62">
        <v>0</v>
      </c>
      <c r="O140" s="62">
        <v>0</v>
      </c>
      <c r="P140" s="72">
        <f t="shared" si="15"/>
        <v>4.2460000000000004</v>
      </c>
      <c r="Q140" s="88" t="str" cm="1">
        <f t="array" ref="Q140">_xlfn.IFS(P140&gt;4,"Excelent",AND(P140&gt;3,P140&lt;=4),"Very Good",AND(P140&gt;2,P140&lt;=3),"Good",AND(P140&gt;1,P140&lt;=2),"Fair")</f>
        <v>Excelent</v>
      </c>
      <c r="R140" s="63">
        <f t="shared" si="16"/>
        <v>0.66599999999999993</v>
      </c>
    </row>
    <row r="141" spans="1:19" ht="11.25" customHeight="1" x14ac:dyDescent="0.2">
      <c r="A141" s="48" t="str">
        <f t="shared" si="13"/>
        <v>2020</v>
      </c>
      <c r="B141" s="48" t="str">
        <f t="shared" si="12"/>
        <v>20 Sum</v>
      </c>
      <c r="C141" s="55" t="s">
        <v>124</v>
      </c>
      <c r="D141" s="56" t="s">
        <v>163</v>
      </c>
      <c r="E141" s="56" t="str">
        <f t="shared" si="14"/>
        <v>HSA 6717
Adv Hlth Mgt Res Sem 2020</v>
      </c>
      <c r="F141" s="57" t="s">
        <v>149</v>
      </c>
      <c r="G141" s="58">
        <v>22</v>
      </c>
      <c r="H141" s="59">
        <v>12</v>
      </c>
      <c r="I141" s="60" t="s">
        <v>111</v>
      </c>
      <c r="J141" s="61" t="s">
        <v>93</v>
      </c>
      <c r="K141" s="62">
        <v>0.5</v>
      </c>
      <c r="L141" s="62">
        <v>0.16700000000000001</v>
      </c>
      <c r="M141" s="62">
        <v>0.33300000000000002</v>
      </c>
      <c r="N141" s="62">
        <v>0</v>
      </c>
      <c r="O141" s="62">
        <v>0</v>
      </c>
      <c r="P141" s="72">
        <f t="shared" si="15"/>
        <v>4.1669999999999998</v>
      </c>
      <c r="Q141" s="88" t="str" cm="1">
        <f t="array" ref="Q141">_xlfn.IFS(P141&gt;4,"Excelent",AND(P141&gt;3,P141&lt;=4),"Very Good",AND(P141&gt;2,P141&lt;=3),"Good",AND(P141&gt;1,P141&lt;=2),"Fair")</f>
        <v>Excelent</v>
      </c>
      <c r="R141" s="63">
        <f t="shared" si="16"/>
        <v>0.66700000000000004</v>
      </c>
    </row>
    <row r="142" spans="1:19" ht="11.25" customHeight="1" x14ac:dyDescent="0.2">
      <c r="A142" s="48" t="str">
        <f t="shared" si="13"/>
        <v>2020</v>
      </c>
      <c r="B142" s="48" t="str">
        <f t="shared" si="12"/>
        <v>20 Sum</v>
      </c>
      <c r="C142" s="55" t="s">
        <v>124</v>
      </c>
      <c r="D142" s="56" t="s">
        <v>163</v>
      </c>
      <c r="E142" s="56" t="str">
        <f t="shared" si="14"/>
        <v>HSA 6717
Adv Hlth Mgt Res Sem 2020</v>
      </c>
      <c r="F142" s="57" t="s">
        <v>149</v>
      </c>
      <c r="G142" s="58">
        <v>22</v>
      </c>
      <c r="H142" s="59">
        <v>12</v>
      </c>
      <c r="I142" s="60" t="s">
        <v>111</v>
      </c>
      <c r="J142" s="61" t="s">
        <v>94</v>
      </c>
      <c r="K142" s="62">
        <v>0.5</v>
      </c>
      <c r="L142" s="62">
        <v>8.3000000000000004E-2</v>
      </c>
      <c r="M142" s="62">
        <v>0.41699999999999998</v>
      </c>
      <c r="N142" s="62">
        <v>0</v>
      </c>
      <c r="O142" s="62">
        <v>0</v>
      </c>
      <c r="P142" s="72">
        <f t="shared" si="15"/>
        <v>4.0830000000000002</v>
      </c>
      <c r="Q142" s="88" t="str" cm="1">
        <f t="array" ref="Q142">_xlfn.IFS(P142&gt;4,"Excelent",AND(P142&gt;3,P142&lt;=4),"Very Good",AND(P142&gt;2,P142&lt;=3),"Good",AND(P142&gt;1,P142&lt;=2),"Fair")</f>
        <v>Excelent</v>
      </c>
      <c r="R142" s="63">
        <f t="shared" si="16"/>
        <v>0.58299999999999996</v>
      </c>
    </row>
    <row r="143" spans="1:19" ht="11.25" customHeight="1" x14ac:dyDescent="0.2">
      <c r="A143" s="48" t="str">
        <f t="shared" si="13"/>
        <v>2020</v>
      </c>
      <c r="B143" s="48" t="str">
        <f t="shared" si="12"/>
        <v>20 Sum</v>
      </c>
      <c r="C143" s="55" t="s">
        <v>124</v>
      </c>
      <c r="D143" s="56" t="s">
        <v>163</v>
      </c>
      <c r="E143" s="56" t="str">
        <f t="shared" si="14"/>
        <v>HSA 6717
Adv Hlth Mgt Res Sem 2020</v>
      </c>
      <c r="F143" s="57" t="s">
        <v>149</v>
      </c>
      <c r="G143" s="58">
        <v>22</v>
      </c>
      <c r="H143" s="59">
        <v>12</v>
      </c>
      <c r="I143" s="60" t="s">
        <v>111</v>
      </c>
      <c r="J143" s="61" t="s">
        <v>95</v>
      </c>
      <c r="K143" s="62">
        <v>0.66700000000000004</v>
      </c>
      <c r="L143" s="62">
        <v>8.3000000000000004E-2</v>
      </c>
      <c r="M143" s="62">
        <v>0.25</v>
      </c>
      <c r="N143" s="62">
        <v>0</v>
      </c>
      <c r="O143" s="62">
        <v>0</v>
      </c>
      <c r="P143" s="72">
        <f t="shared" si="15"/>
        <v>4.4169999999999998</v>
      </c>
      <c r="Q143" s="88" t="str" cm="1">
        <f t="array" ref="Q143">_xlfn.IFS(P143&gt;4,"Excelent",AND(P143&gt;3,P143&lt;=4),"Very Good",AND(P143&gt;2,P143&lt;=3),"Good",AND(P143&gt;1,P143&lt;=2),"Fair")</f>
        <v>Excelent</v>
      </c>
      <c r="R143" s="63">
        <f t="shared" si="16"/>
        <v>0.75</v>
      </c>
    </row>
    <row r="144" spans="1:19" ht="11.25" customHeight="1" x14ac:dyDescent="0.2">
      <c r="A144" s="48" t="str">
        <f t="shared" si="13"/>
        <v>2020</v>
      </c>
      <c r="B144" s="48" t="str">
        <f t="shared" si="12"/>
        <v>20 Sum</v>
      </c>
      <c r="C144" s="55" t="s">
        <v>124</v>
      </c>
      <c r="D144" s="56" t="s">
        <v>163</v>
      </c>
      <c r="E144" s="56" t="str">
        <f t="shared" si="14"/>
        <v>HSA 6717
Adv Hlth Mgt Res Sem 2020</v>
      </c>
      <c r="F144" s="57" t="s">
        <v>149</v>
      </c>
      <c r="G144" s="58">
        <v>22</v>
      </c>
      <c r="H144" s="59">
        <v>12</v>
      </c>
      <c r="I144" s="60" t="s">
        <v>111</v>
      </c>
      <c r="J144" s="61" t="s">
        <v>96</v>
      </c>
      <c r="K144" s="62">
        <v>0.5</v>
      </c>
      <c r="L144" s="62">
        <v>0.25</v>
      </c>
      <c r="M144" s="62">
        <v>0.25</v>
      </c>
      <c r="N144" s="62">
        <v>0</v>
      </c>
      <c r="O144" s="62">
        <v>0</v>
      </c>
      <c r="P144" s="72">
        <f t="shared" si="15"/>
        <v>4.25</v>
      </c>
      <c r="Q144" s="88" t="str" cm="1">
        <f t="array" ref="Q144">_xlfn.IFS(P144&gt;4,"Excelent",AND(P144&gt;3,P144&lt;=4),"Very Good",AND(P144&gt;2,P144&lt;=3),"Good",AND(P144&gt;1,P144&lt;=2),"Fair")</f>
        <v>Excelent</v>
      </c>
      <c r="R144" s="63">
        <f t="shared" si="16"/>
        <v>0.75</v>
      </c>
    </row>
    <row r="145" spans="1:18" ht="11.25" customHeight="1" x14ac:dyDescent="0.2">
      <c r="A145" s="48" t="str">
        <f t="shared" si="13"/>
        <v>2020</v>
      </c>
      <c r="B145" s="48" t="str">
        <f t="shared" si="12"/>
        <v>20 Sum</v>
      </c>
      <c r="C145" s="55" t="s">
        <v>124</v>
      </c>
      <c r="D145" s="56" t="s">
        <v>163</v>
      </c>
      <c r="E145" s="56" t="str">
        <f t="shared" si="14"/>
        <v>HSA 6930
Pro Seminar Hlth Mgt 2020</v>
      </c>
      <c r="F145" s="57" t="s">
        <v>149</v>
      </c>
      <c r="G145" s="58">
        <v>22</v>
      </c>
      <c r="H145" s="59">
        <v>12</v>
      </c>
      <c r="I145" s="60" t="s">
        <v>111</v>
      </c>
      <c r="J145" s="61" t="s">
        <v>97</v>
      </c>
      <c r="K145" s="65">
        <v>0.58299999999999996</v>
      </c>
      <c r="L145" s="65">
        <v>0.16700000000000001</v>
      </c>
      <c r="M145" s="65">
        <v>0.25</v>
      </c>
      <c r="N145" s="65">
        <v>0</v>
      </c>
      <c r="O145" s="65">
        <v>0</v>
      </c>
      <c r="P145" s="72">
        <f t="shared" si="15"/>
        <v>4.3330000000000002</v>
      </c>
      <c r="Q145" s="88" t="str" cm="1">
        <f t="array" ref="Q145">_xlfn.IFS(P145&gt;4,"Excelent",AND(P145&gt;3,P145&lt;=4),"Very Good",AND(P145&gt;2,P145&lt;=3),"Good",AND(P145&gt;1,P145&lt;=2),"Fair")</f>
        <v>Excelent</v>
      </c>
      <c r="R145" s="63">
        <f t="shared" si="16"/>
        <v>0.75</v>
      </c>
    </row>
    <row r="146" spans="1:18" ht="11.25" customHeight="1" x14ac:dyDescent="0.2">
      <c r="A146" s="48" t="str">
        <f t="shared" si="13"/>
        <v>2020</v>
      </c>
      <c r="B146" s="48" t="str">
        <f t="shared" si="12"/>
        <v>20 Sum</v>
      </c>
      <c r="C146" s="55" t="s">
        <v>124</v>
      </c>
      <c r="D146" s="56" t="s">
        <v>164</v>
      </c>
      <c r="E146" s="56" t="str">
        <f t="shared" si="14"/>
        <v>HSA 6930
Pro Seminar Hlth Mgt 2020</v>
      </c>
      <c r="F146" s="66" t="s">
        <v>150</v>
      </c>
      <c r="G146" s="58">
        <v>8</v>
      </c>
      <c r="H146" s="59">
        <v>3</v>
      </c>
      <c r="I146" s="67" t="s">
        <v>109</v>
      </c>
      <c r="J146" s="61" t="s">
        <v>90</v>
      </c>
      <c r="K146" s="62">
        <v>0.66700000000000004</v>
      </c>
      <c r="L146" s="62">
        <v>0</v>
      </c>
      <c r="M146" s="62">
        <v>0</v>
      </c>
      <c r="N146" s="62">
        <v>0.33300000000000002</v>
      </c>
      <c r="O146" s="62">
        <v>0</v>
      </c>
      <c r="P146" s="72">
        <f t="shared" si="15"/>
        <v>4.0010000000000003</v>
      </c>
      <c r="Q146" s="88" t="str" cm="1">
        <f t="array" ref="Q146">_xlfn.IFS(P146&gt;4,"Excelent",AND(P146&gt;3,P146&lt;=4),"Very Good",AND(P146&gt;2,P146&lt;=3),"Good",AND(P146&gt;1,P146&lt;=2),"Fair")</f>
        <v>Excelent</v>
      </c>
      <c r="R146" s="63">
        <f t="shared" si="16"/>
        <v>0.66700000000000004</v>
      </c>
    </row>
    <row r="147" spans="1:18" ht="11.25" customHeight="1" x14ac:dyDescent="0.2">
      <c r="A147" s="48" t="str">
        <f t="shared" si="13"/>
        <v>2020</v>
      </c>
      <c r="B147" s="48" t="str">
        <f t="shared" si="12"/>
        <v>20 Sum</v>
      </c>
      <c r="C147" s="55" t="s">
        <v>124</v>
      </c>
      <c r="D147" s="56" t="s">
        <v>164</v>
      </c>
      <c r="E147" s="56" t="str">
        <f t="shared" si="14"/>
        <v>HSA 6930
Pro Seminar Hlth Mgt 2020</v>
      </c>
      <c r="F147" s="66" t="s">
        <v>150</v>
      </c>
      <c r="G147" s="58">
        <v>8</v>
      </c>
      <c r="H147" s="59">
        <v>3</v>
      </c>
      <c r="I147" s="60" t="s">
        <v>109</v>
      </c>
      <c r="J147" s="61" t="s">
        <v>91</v>
      </c>
      <c r="K147" s="62">
        <v>0.66700000000000004</v>
      </c>
      <c r="L147" s="62">
        <v>0</v>
      </c>
      <c r="M147" s="62">
        <v>0</v>
      </c>
      <c r="N147" s="62">
        <v>0.33300000000000002</v>
      </c>
      <c r="O147" s="62">
        <v>0</v>
      </c>
      <c r="P147" s="72">
        <f t="shared" si="15"/>
        <v>4.0010000000000003</v>
      </c>
      <c r="Q147" s="88" t="str" cm="1">
        <f t="array" ref="Q147">_xlfn.IFS(P147&gt;4,"Excelent",AND(P147&gt;3,P147&lt;=4),"Very Good",AND(P147&gt;2,P147&lt;=3),"Good",AND(P147&gt;1,P147&lt;=2),"Fair")</f>
        <v>Excelent</v>
      </c>
      <c r="R147" s="63">
        <f t="shared" si="16"/>
        <v>0.66700000000000004</v>
      </c>
    </row>
    <row r="148" spans="1:18" ht="11.25" customHeight="1" x14ac:dyDescent="0.2">
      <c r="A148" s="48" t="str">
        <f t="shared" si="13"/>
        <v>2020</v>
      </c>
      <c r="B148" s="48" t="str">
        <f t="shared" si="12"/>
        <v>20 Sum</v>
      </c>
      <c r="C148" s="55" t="s">
        <v>124</v>
      </c>
      <c r="D148" s="56" t="s">
        <v>164</v>
      </c>
      <c r="E148" s="56" t="str">
        <f t="shared" si="14"/>
        <v>HSA 6930
Pro Seminar Hlth Mgt 2020</v>
      </c>
      <c r="F148" s="66" t="s">
        <v>150</v>
      </c>
      <c r="G148" s="58">
        <v>8</v>
      </c>
      <c r="H148" s="59">
        <v>3</v>
      </c>
      <c r="I148" s="60" t="s">
        <v>109</v>
      </c>
      <c r="J148" s="61" t="s">
        <v>92</v>
      </c>
      <c r="K148" s="62">
        <v>0.66700000000000004</v>
      </c>
      <c r="L148" s="62">
        <v>0</v>
      </c>
      <c r="M148" s="62">
        <v>0</v>
      </c>
      <c r="N148" s="62">
        <v>0.33300000000000002</v>
      </c>
      <c r="O148" s="62">
        <v>0</v>
      </c>
      <c r="P148" s="72">
        <f t="shared" si="15"/>
        <v>4.0010000000000003</v>
      </c>
      <c r="Q148" s="88" t="str" cm="1">
        <f t="array" ref="Q148">_xlfn.IFS(P148&gt;4,"Excelent",AND(P148&gt;3,P148&lt;=4),"Very Good",AND(P148&gt;2,P148&lt;=3),"Good",AND(P148&gt;1,P148&lt;=2),"Fair")</f>
        <v>Excelent</v>
      </c>
      <c r="R148" s="63">
        <f t="shared" si="16"/>
        <v>0.66700000000000004</v>
      </c>
    </row>
    <row r="149" spans="1:18" ht="11.25" customHeight="1" x14ac:dyDescent="0.2">
      <c r="A149" s="48" t="str">
        <f t="shared" si="13"/>
        <v>2020</v>
      </c>
      <c r="B149" s="48" t="str">
        <f t="shared" ref="B149:B212" si="17">_xlfn.CONCAT(RIGHT(C149,2)," ",LEFT(C149,3))</f>
        <v>20 Sum</v>
      </c>
      <c r="C149" s="55" t="s">
        <v>124</v>
      </c>
      <c r="D149" s="56" t="s">
        <v>164</v>
      </c>
      <c r="E149" s="56" t="str">
        <f t="shared" si="14"/>
        <v>HSA 6930
Pro Seminar Hlth Mgt 2020</v>
      </c>
      <c r="F149" s="66" t="s">
        <v>150</v>
      </c>
      <c r="G149" s="58">
        <v>8</v>
      </c>
      <c r="H149" s="59">
        <v>3</v>
      </c>
      <c r="I149" s="60" t="s">
        <v>109</v>
      </c>
      <c r="J149" s="61" t="s">
        <v>93</v>
      </c>
      <c r="K149" s="62">
        <v>0.66700000000000004</v>
      </c>
      <c r="L149" s="62">
        <v>0</v>
      </c>
      <c r="M149" s="62">
        <v>0</v>
      </c>
      <c r="N149" s="62">
        <v>0.33300000000000002</v>
      </c>
      <c r="O149" s="62">
        <v>0</v>
      </c>
      <c r="P149" s="72">
        <f t="shared" si="15"/>
        <v>4.0010000000000003</v>
      </c>
      <c r="Q149" s="88" t="str" cm="1">
        <f t="array" ref="Q149">_xlfn.IFS(P149&gt;4,"Excelent",AND(P149&gt;3,P149&lt;=4),"Very Good",AND(P149&gt;2,P149&lt;=3),"Good",AND(P149&gt;1,P149&lt;=2),"Fair")</f>
        <v>Excelent</v>
      </c>
      <c r="R149" s="63">
        <f t="shared" si="16"/>
        <v>0.66700000000000004</v>
      </c>
    </row>
    <row r="150" spans="1:18" ht="11.25" customHeight="1" x14ac:dyDescent="0.2">
      <c r="A150" s="48" t="str">
        <f t="shared" si="13"/>
        <v>2020</v>
      </c>
      <c r="B150" s="48" t="str">
        <f t="shared" si="17"/>
        <v>20 Sum</v>
      </c>
      <c r="C150" s="55" t="s">
        <v>124</v>
      </c>
      <c r="D150" s="56" t="s">
        <v>164</v>
      </c>
      <c r="E150" s="56" t="str">
        <f t="shared" si="14"/>
        <v>HSA 6930
Pro Seminar Hlth Mgt 2020</v>
      </c>
      <c r="F150" s="66" t="s">
        <v>150</v>
      </c>
      <c r="G150" s="58">
        <v>8</v>
      </c>
      <c r="H150" s="59">
        <v>3</v>
      </c>
      <c r="I150" s="60" t="s">
        <v>109</v>
      </c>
      <c r="J150" s="61" t="s">
        <v>94</v>
      </c>
      <c r="K150" s="62">
        <v>0.66700000000000004</v>
      </c>
      <c r="L150" s="62">
        <v>0</v>
      </c>
      <c r="M150" s="62">
        <v>0</v>
      </c>
      <c r="N150" s="62">
        <v>0.33300000000000002</v>
      </c>
      <c r="O150" s="62">
        <v>0</v>
      </c>
      <c r="P150" s="72">
        <f t="shared" si="15"/>
        <v>4.0010000000000003</v>
      </c>
      <c r="Q150" s="88" t="str" cm="1">
        <f t="array" ref="Q150">_xlfn.IFS(P150&gt;4,"Excelent",AND(P150&gt;3,P150&lt;=4),"Very Good",AND(P150&gt;2,P150&lt;=3),"Good",AND(P150&gt;1,P150&lt;=2),"Fair")</f>
        <v>Excelent</v>
      </c>
      <c r="R150" s="63">
        <f t="shared" si="16"/>
        <v>0.66700000000000004</v>
      </c>
    </row>
    <row r="151" spans="1:18" ht="11.25" customHeight="1" x14ac:dyDescent="0.2">
      <c r="A151" s="48" t="str">
        <f t="shared" si="13"/>
        <v>2020</v>
      </c>
      <c r="B151" s="48" t="str">
        <f t="shared" si="17"/>
        <v>20 Sum</v>
      </c>
      <c r="C151" s="55" t="s">
        <v>124</v>
      </c>
      <c r="D151" s="56" t="s">
        <v>164</v>
      </c>
      <c r="E151" s="56" t="str">
        <f t="shared" si="14"/>
        <v>HSA 6930
Pro Seminar Hlth Mgt 2020</v>
      </c>
      <c r="F151" s="66" t="s">
        <v>150</v>
      </c>
      <c r="G151" s="58">
        <v>8</v>
      </c>
      <c r="H151" s="59">
        <v>3</v>
      </c>
      <c r="I151" s="60" t="s">
        <v>109</v>
      </c>
      <c r="J151" s="61" t="s">
        <v>95</v>
      </c>
      <c r="K151" s="62">
        <v>0.66700000000000004</v>
      </c>
      <c r="L151" s="62">
        <v>0</v>
      </c>
      <c r="M151" s="62">
        <v>0</v>
      </c>
      <c r="N151" s="62">
        <v>0.33300000000000002</v>
      </c>
      <c r="O151" s="62">
        <v>0</v>
      </c>
      <c r="P151" s="72">
        <f t="shared" si="15"/>
        <v>4.0010000000000003</v>
      </c>
      <c r="Q151" s="88" t="str" cm="1">
        <f t="array" ref="Q151">_xlfn.IFS(P151&gt;4,"Excelent",AND(P151&gt;3,P151&lt;=4),"Very Good",AND(P151&gt;2,P151&lt;=3),"Good",AND(P151&gt;1,P151&lt;=2),"Fair")</f>
        <v>Excelent</v>
      </c>
      <c r="R151" s="63">
        <f t="shared" si="16"/>
        <v>0.66700000000000004</v>
      </c>
    </row>
    <row r="152" spans="1:18" ht="11.25" customHeight="1" x14ac:dyDescent="0.2">
      <c r="A152" s="48" t="str">
        <f t="shared" si="13"/>
        <v>2020</v>
      </c>
      <c r="B152" s="48" t="str">
        <f t="shared" si="17"/>
        <v>20 Sum</v>
      </c>
      <c r="C152" s="55" t="s">
        <v>124</v>
      </c>
      <c r="D152" s="56" t="s">
        <v>164</v>
      </c>
      <c r="E152" s="56" t="str">
        <f t="shared" si="14"/>
        <v>HSA 6930
Pro Seminar Hlth Mgt 2020</v>
      </c>
      <c r="F152" s="66" t="s">
        <v>150</v>
      </c>
      <c r="G152" s="58">
        <v>8</v>
      </c>
      <c r="H152" s="59">
        <v>3</v>
      </c>
      <c r="I152" s="60" t="s">
        <v>109</v>
      </c>
      <c r="J152" s="61" t="s">
        <v>96</v>
      </c>
      <c r="K152" s="62">
        <v>0.66700000000000004</v>
      </c>
      <c r="L152" s="62">
        <v>0</v>
      </c>
      <c r="M152" s="62">
        <v>0</v>
      </c>
      <c r="N152" s="62">
        <v>0.33300000000000002</v>
      </c>
      <c r="O152" s="62">
        <v>0</v>
      </c>
      <c r="P152" s="72">
        <f t="shared" si="15"/>
        <v>4.0010000000000003</v>
      </c>
      <c r="Q152" s="88" t="str" cm="1">
        <f t="array" ref="Q152">_xlfn.IFS(P152&gt;4,"Excelent",AND(P152&gt;3,P152&lt;=4),"Very Good",AND(P152&gt;2,P152&lt;=3),"Good",AND(P152&gt;1,P152&lt;=2),"Fair")</f>
        <v>Excelent</v>
      </c>
      <c r="R152" s="63">
        <f t="shared" si="16"/>
        <v>0.66700000000000004</v>
      </c>
    </row>
    <row r="153" spans="1:18" ht="11.25" customHeight="1" x14ac:dyDescent="0.2">
      <c r="A153" s="48" t="str">
        <f t="shared" si="13"/>
        <v>2020</v>
      </c>
      <c r="B153" s="48" t="str">
        <f t="shared" si="17"/>
        <v>20 Sum</v>
      </c>
      <c r="C153" s="55" t="s">
        <v>124</v>
      </c>
      <c r="D153" s="56" t="s">
        <v>164</v>
      </c>
      <c r="E153" s="56" t="str">
        <f t="shared" si="14"/>
        <v>HSA 6930
Pro Seminar Hlth Mgt 2020</v>
      </c>
      <c r="F153" s="66" t="s">
        <v>150</v>
      </c>
      <c r="G153" s="58">
        <v>8</v>
      </c>
      <c r="H153" s="59">
        <v>3</v>
      </c>
      <c r="I153" s="60" t="s">
        <v>109</v>
      </c>
      <c r="J153" s="61" t="s">
        <v>97</v>
      </c>
      <c r="K153" s="65">
        <v>0.66700000000000004</v>
      </c>
      <c r="L153" s="65">
        <v>0</v>
      </c>
      <c r="M153" s="65">
        <v>0</v>
      </c>
      <c r="N153" s="65">
        <v>0.33300000000000002</v>
      </c>
      <c r="O153" s="65">
        <v>0</v>
      </c>
      <c r="P153" s="72">
        <f t="shared" si="15"/>
        <v>4.0010000000000003</v>
      </c>
      <c r="Q153" s="88" t="str" cm="1">
        <f t="array" ref="Q153">_xlfn.IFS(P153&gt;4,"Excelent",AND(P153&gt;3,P153&lt;=4),"Very Good",AND(P153&gt;2,P153&lt;=3),"Good",AND(P153&gt;1,P153&lt;=2),"Fair")</f>
        <v>Excelent</v>
      </c>
      <c r="R153" s="63">
        <f t="shared" si="16"/>
        <v>0.66700000000000004</v>
      </c>
    </row>
    <row r="154" spans="1:18" ht="11.25" customHeight="1" x14ac:dyDescent="0.2">
      <c r="A154" s="48" t="str">
        <f t="shared" si="13"/>
        <v>2020</v>
      </c>
      <c r="B154" s="48" t="str">
        <f t="shared" si="17"/>
        <v>20 Sum</v>
      </c>
      <c r="C154" s="55" t="s">
        <v>124</v>
      </c>
      <c r="D154" s="56" t="s">
        <v>164</v>
      </c>
      <c r="E154" s="56" t="str">
        <f t="shared" si="14"/>
        <v>HSA 6930
Pro Seminar Hlth Mgt 2020</v>
      </c>
      <c r="F154" s="57" t="s">
        <v>125</v>
      </c>
      <c r="G154" s="58">
        <v>21</v>
      </c>
      <c r="H154" s="59">
        <v>11</v>
      </c>
      <c r="I154" s="60" t="s">
        <v>111</v>
      </c>
      <c r="J154" s="61" t="s">
        <v>90</v>
      </c>
      <c r="K154" s="62">
        <v>0.63600000000000001</v>
      </c>
      <c r="L154" s="62">
        <v>9.0999999999999998E-2</v>
      </c>
      <c r="M154" s="62">
        <v>0.182</v>
      </c>
      <c r="N154" s="62">
        <v>0</v>
      </c>
      <c r="O154" s="62">
        <v>9.0999999999999998E-2</v>
      </c>
      <c r="P154" s="72">
        <f t="shared" si="15"/>
        <v>4.181</v>
      </c>
      <c r="Q154" s="88" t="str" cm="1">
        <f t="array" ref="Q154">_xlfn.IFS(P154&gt;4,"Excelent",AND(P154&gt;3,P154&lt;=4),"Very Good",AND(P154&gt;2,P154&lt;=3),"Good",AND(P154&gt;1,P154&lt;=2),"Fair")</f>
        <v>Excelent</v>
      </c>
      <c r="R154" s="63">
        <f t="shared" si="16"/>
        <v>0.72699999999999998</v>
      </c>
    </row>
    <row r="155" spans="1:18" ht="11.25" customHeight="1" x14ac:dyDescent="0.2">
      <c r="A155" s="48" t="str">
        <f t="shared" si="13"/>
        <v>2020</v>
      </c>
      <c r="B155" s="48" t="str">
        <f t="shared" si="17"/>
        <v>20 Sum</v>
      </c>
      <c r="C155" s="55" t="s">
        <v>124</v>
      </c>
      <c r="D155" s="56" t="s">
        <v>164</v>
      </c>
      <c r="E155" s="56" t="str">
        <f t="shared" si="14"/>
        <v>HSA 6930
Pro Seminar Hlth Mgt 2020</v>
      </c>
      <c r="F155" s="57" t="s">
        <v>125</v>
      </c>
      <c r="G155" s="58">
        <v>21</v>
      </c>
      <c r="H155" s="59">
        <v>11</v>
      </c>
      <c r="I155" s="60" t="s">
        <v>111</v>
      </c>
      <c r="J155" s="61" t="s">
        <v>91</v>
      </c>
      <c r="K155" s="62">
        <v>0.54500000000000004</v>
      </c>
      <c r="L155" s="62">
        <v>0.182</v>
      </c>
      <c r="M155" s="62">
        <v>0.27300000000000002</v>
      </c>
      <c r="N155" s="62">
        <v>0</v>
      </c>
      <c r="O155" s="62">
        <v>0</v>
      </c>
      <c r="P155" s="72">
        <f t="shared" si="15"/>
        <v>4.2720000000000002</v>
      </c>
      <c r="Q155" s="88" t="str" cm="1">
        <f t="array" ref="Q155">_xlfn.IFS(P155&gt;4,"Excelent",AND(P155&gt;3,P155&lt;=4),"Very Good",AND(P155&gt;2,P155&lt;=3),"Good",AND(P155&gt;1,P155&lt;=2),"Fair")</f>
        <v>Excelent</v>
      </c>
      <c r="R155" s="63">
        <f t="shared" si="16"/>
        <v>0.72700000000000009</v>
      </c>
    </row>
    <row r="156" spans="1:18" ht="11.25" customHeight="1" x14ac:dyDescent="0.2">
      <c r="A156" s="48" t="str">
        <f t="shared" si="13"/>
        <v>2020</v>
      </c>
      <c r="B156" s="48" t="str">
        <f t="shared" si="17"/>
        <v>20 Sum</v>
      </c>
      <c r="C156" s="55" t="s">
        <v>124</v>
      </c>
      <c r="D156" s="56" t="s">
        <v>164</v>
      </c>
      <c r="E156" s="56" t="str">
        <f t="shared" si="14"/>
        <v>HSA 6930
Pro Seminar Hlth Mgt 2020</v>
      </c>
      <c r="F156" s="57" t="s">
        <v>125</v>
      </c>
      <c r="G156" s="58">
        <v>21</v>
      </c>
      <c r="H156" s="59">
        <v>11</v>
      </c>
      <c r="I156" s="60" t="s">
        <v>111</v>
      </c>
      <c r="J156" s="61" t="s">
        <v>92</v>
      </c>
      <c r="K156" s="62">
        <v>0.63600000000000001</v>
      </c>
      <c r="L156" s="62">
        <v>9.0999999999999998E-2</v>
      </c>
      <c r="M156" s="62">
        <v>0.27300000000000002</v>
      </c>
      <c r="N156" s="62">
        <v>0</v>
      </c>
      <c r="O156" s="62">
        <v>0</v>
      </c>
      <c r="P156" s="72">
        <f t="shared" si="15"/>
        <v>4.3630000000000004</v>
      </c>
      <c r="Q156" s="88" t="str" cm="1">
        <f t="array" ref="Q156">_xlfn.IFS(P156&gt;4,"Excelent",AND(P156&gt;3,P156&lt;=4),"Very Good",AND(P156&gt;2,P156&lt;=3),"Good",AND(P156&gt;1,P156&lt;=2),"Fair")</f>
        <v>Excelent</v>
      </c>
      <c r="R156" s="63">
        <f t="shared" si="16"/>
        <v>0.72699999999999998</v>
      </c>
    </row>
    <row r="157" spans="1:18" ht="11.25" customHeight="1" x14ac:dyDescent="0.2">
      <c r="A157" s="48" t="str">
        <f t="shared" si="13"/>
        <v>2020</v>
      </c>
      <c r="B157" s="48" t="str">
        <f t="shared" si="17"/>
        <v>20 Sum</v>
      </c>
      <c r="C157" s="55" t="s">
        <v>124</v>
      </c>
      <c r="D157" s="56" t="s">
        <v>164</v>
      </c>
      <c r="E157" s="56" t="str">
        <f t="shared" si="14"/>
        <v>HSA 6930
Pro Seminar Hlth Mgt 2020</v>
      </c>
      <c r="F157" s="57" t="s">
        <v>125</v>
      </c>
      <c r="G157" s="58">
        <v>21</v>
      </c>
      <c r="H157" s="59">
        <v>11</v>
      </c>
      <c r="I157" s="60" t="s">
        <v>111</v>
      </c>
      <c r="J157" s="61" t="s">
        <v>93</v>
      </c>
      <c r="K157" s="62">
        <v>0.63600000000000001</v>
      </c>
      <c r="L157" s="62">
        <v>9.0999999999999998E-2</v>
      </c>
      <c r="M157" s="62">
        <v>0.27300000000000002</v>
      </c>
      <c r="N157" s="62">
        <v>0</v>
      </c>
      <c r="O157" s="62">
        <v>0</v>
      </c>
      <c r="P157" s="72">
        <f t="shared" si="15"/>
        <v>4.3630000000000004</v>
      </c>
      <c r="Q157" s="88" t="str" cm="1">
        <f t="array" ref="Q157">_xlfn.IFS(P157&gt;4,"Excelent",AND(P157&gt;3,P157&lt;=4),"Very Good",AND(P157&gt;2,P157&lt;=3),"Good",AND(P157&gt;1,P157&lt;=2),"Fair")</f>
        <v>Excelent</v>
      </c>
      <c r="R157" s="63">
        <f t="shared" si="16"/>
        <v>0.72699999999999998</v>
      </c>
    </row>
    <row r="158" spans="1:18" ht="11.25" customHeight="1" x14ac:dyDescent="0.2">
      <c r="A158" s="48" t="str">
        <f t="shared" si="13"/>
        <v>2020</v>
      </c>
      <c r="B158" s="48" t="str">
        <f t="shared" si="17"/>
        <v>20 Sum</v>
      </c>
      <c r="C158" s="55" t="s">
        <v>124</v>
      </c>
      <c r="D158" s="56" t="s">
        <v>164</v>
      </c>
      <c r="E158" s="56" t="str">
        <f t="shared" si="14"/>
        <v>HSA 6930
Pro Seminar Hlth Mgt 2020</v>
      </c>
      <c r="F158" s="57" t="s">
        <v>125</v>
      </c>
      <c r="G158" s="58">
        <v>21</v>
      </c>
      <c r="H158" s="59">
        <v>11</v>
      </c>
      <c r="I158" s="60" t="s">
        <v>111</v>
      </c>
      <c r="J158" s="61" t="s">
        <v>94</v>
      </c>
      <c r="K158" s="62">
        <v>0.54500000000000004</v>
      </c>
      <c r="L158" s="62">
        <v>0.182</v>
      </c>
      <c r="M158" s="62">
        <v>0.27300000000000002</v>
      </c>
      <c r="N158" s="62">
        <v>0</v>
      </c>
      <c r="O158" s="62">
        <v>0</v>
      </c>
      <c r="P158" s="72">
        <f t="shared" si="15"/>
        <v>4.2720000000000002</v>
      </c>
      <c r="Q158" s="88" t="str" cm="1">
        <f t="array" ref="Q158">_xlfn.IFS(P158&gt;4,"Excelent",AND(P158&gt;3,P158&lt;=4),"Very Good",AND(P158&gt;2,P158&lt;=3),"Good",AND(P158&gt;1,P158&lt;=2),"Fair")</f>
        <v>Excelent</v>
      </c>
      <c r="R158" s="63">
        <f t="shared" si="16"/>
        <v>0.72700000000000009</v>
      </c>
    </row>
    <row r="159" spans="1:18" ht="11.25" customHeight="1" x14ac:dyDescent="0.2">
      <c r="A159" s="48" t="str">
        <f t="shared" si="13"/>
        <v>2020</v>
      </c>
      <c r="B159" s="48" t="str">
        <f t="shared" si="17"/>
        <v>20 Sum</v>
      </c>
      <c r="C159" s="55" t="s">
        <v>124</v>
      </c>
      <c r="D159" s="56" t="s">
        <v>164</v>
      </c>
      <c r="E159" s="56" t="str">
        <f t="shared" si="14"/>
        <v>HSA 6930
Pro Seminar Hlth Mgt 2020</v>
      </c>
      <c r="F159" s="57" t="s">
        <v>125</v>
      </c>
      <c r="G159" s="58">
        <v>21</v>
      </c>
      <c r="H159" s="59">
        <v>11</v>
      </c>
      <c r="I159" s="60" t="s">
        <v>111</v>
      </c>
      <c r="J159" s="61" t="s">
        <v>95</v>
      </c>
      <c r="K159" s="62">
        <v>0.63600000000000001</v>
      </c>
      <c r="L159" s="62">
        <v>9.0999999999999998E-2</v>
      </c>
      <c r="M159" s="62">
        <v>0.27300000000000002</v>
      </c>
      <c r="N159" s="62">
        <v>0</v>
      </c>
      <c r="O159" s="62">
        <v>0</v>
      </c>
      <c r="P159" s="72">
        <f t="shared" si="15"/>
        <v>4.3630000000000004</v>
      </c>
      <c r="Q159" s="88" t="str" cm="1">
        <f t="array" ref="Q159">_xlfn.IFS(P159&gt;4,"Excelent",AND(P159&gt;3,P159&lt;=4),"Very Good",AND(P159&gt;2,P159&lt;=3),"Good",AND(P159&gt;1,P159&lt;=2),"Fair")</f>
        <v>Excelent</v>
      </c>
      <c r="R159" s="63">
        <f t="shared" si="16"/>
        <v>0.72699999999999998</v>
      </c>
    </row>
    <row r="160" spans="1:18" ht="11.25" customHeight="1" x14ac:dyDescent="0.2">
      <c r="A160" s="48" t="str">
        <f t="shared" si="13"/>
        <v>2020</v>
      </c>
      <c r="B160" s="48" t="str">
        <f t="shared" si="17"/>
        <v>20 Sum</v>
      </c>
      <c r="C160" s="55" t="s">
        <v>124</v>
      </c>
      <c r="D160" s="56" t="s">
        <v>164</v>
      </c>
      <c r="E160" s="56" t="str">
        <f t="shared" si="14"/>
        <v>HSA 6930
Pro Seminar Hlth Mgt 2020</v>
      </c>
      <c r="F160" s="57" t="s">
        <v>125</v>
      </c>
      <c r="G160" s="58">
        <v>21</v>
      </c>
      <c r="H160" s="59">
        <v>11</v>
      </c>
      <c r="I160" s="60" t="s">
        <v>111</v>
      </c>
      <c r="J160" s="61" t="s">
        <v>96</v>
      </c>
      <c r="K160" s="62">
        <v>0.54500000000000004</v>
      </c>
      <c r="L160" s="62">
        <v>0.27300000000000002</v>
      </c>
      <c r="M160" s="62">
        <v>0.182</v>
      </c>
      <c r="N160" s="62">
        <v>0</v>
      </c>
      <c r="O160" s="62">
        <v>0</v>
      </c>
      <c r="P160" s="72">
        <f t="shared" si="15"/>
        <v>4.3630000000000004</v>
      </c>
      <c r="Q160" s="88" t="str" cm="1">
        <f t="array" ref="Q160">_xlfn.IFS(P160&gt;4,"Excelent",AND(P160&gt;3,P160&lt;=4),"Very Good",AND(P160&gt;2,P160&lt;=3),"Good",AND(P160&gt;1,P160&lt;=2),"Fair")</f>
        <v>Excelent</v>
      </c>
      <c r="R160" s="63">
        <f t="shared" si="16"/>
        <v>0.81800000000000006</v>
      </c>
    </row>
    <row r="161" spans="1:19" s="75" customFormat="1" ht="11.25" customHeight="1" x14ac:dyDescent="0.25">
      <c r="A161" s="75" t="str">
        <f t="shared" si="13"/>
        <v>2020</v>
      </c>
      <c r="B161" s="75" t="str">
        <f t="shared" si="17"/>
        <v>20 Sum</v>
      </c>
      <c r="C161" s="76" t="s">
        <v>124</v>
      </c>
      <c r="D161" s="76" t="s">
        <v>104</v>
      </c>
      <c r="E161" s="76" t="str">
        <f t="shared" si="14"/>
        <v>HSA 6175
Fin Mgt Hlth Sys 2020</v>
      </c>
      <c r="F161" s="77" t="s">
        <v>125</v>
      </c>
      <c r="G161" s="78">
        <v>21</v>
      </c>
      <c r="H161" s="79">
        <v>11</v>
      </c>
      <c r="I161" s="80" t="s">
        <v>111</v>
      </c>
      <c r="J161" s="81" t="s">
        <v>97</v>
      </c>
      <c r="K161" s="82">
        <v>0.54500000000000004</v>
      </c>
      <c r="L161" s="82">
        <v>0.182</v>
      </c>
      <c r="M161" s="82">
        <v>0.27300000000000002</v>
      </c>
      <c r="N161" s="82">
        <v>0</v>
      </c>
      <c r="O161" s="82">
        <v>0</v>
      </c>
      <c r="P161" s="83">
        <f t="shared" si="15"/>
        <v>4.2720000000000002</v>
      </c>
      <c r="Q161" s="88" t="str" cm="1">
        <f t="array" ref="Q161">_xlfn.IFS(P161&gt;4,"Excelent",AND(P161&gt;3,P161&lt;=4),"Very Good",AND(P161&gt;2,P161&lt;=3),"Good",AND(P161&gt;1,P161&lt;=2),"Fair")</f>
        <v>Excelent</v>
      </c>
      <c r="R161" s="84">
        <f t="shared" si="16"/>
        <v>0.72700000000000009</v>
      </c>
      <c r="S161" s="75">
        <f>AVERAGE(P130:P161)</f>
        <v>4.1338125000000012</v>
      </c>
    </row>
    <row r="162" spans="1:19" ht="10.5" customHeight="1" x14ac:dyDescent="0.2">
      <c r="A162" s="48" t="str">
        <f t="shared" si="13"/>
        <v>2020</v>
      </c>
      <c r="B162" s="48" t="str">
        <f t="shared" si="17"/>
        <v>20 Spr</v>
      </c>
      <c r="C162" s="55" t="s">
        <v>122</v>
      </c>
      <c r="D162" s="56" t="s">
        <v>165</v>
      </c>
      <c r="E162" s="56" t="str">
        <f t="shared" si="14"/>
        <v>HSA 6175
Fin Mgt Hlth Sys 2020</v>
      </c>
      <c r="F162" s="57" t="s">
        <v>151</v>
      </c>
      <c r="G162" s="58">
        <v>12</v>
      </c>
      <c r="H162" s="59">
        <v>11</v>
      </c>
      <c r="I162" s="60" t="s">
        <v>109</v>
      </c>
      <c r="J162" s="61" t="s">
        <v>90</v>
      </c>
      <c r="K162" s="62">
        <v>0.182</v>
      </c>
      <c r="L162" s="62">
        <v>0</v>
      </c>
      <c r="M162" s="62">
        <v>0.27300000000000002</v>
      </c>
      <c r="N162" s="62">
        <v>0.27300000000000002</v>
      </c>
      <c r="O162" s="62">
        <v>0.27300000000000002</v>
      </c>
      <c r="P162" s="72">
        <f t="shared" si="15"/>
        <v>2.5480000000000005</v>
      </c>
      <c r="Q162" s="88" t="str" cm="1">
        <f t="array" ref="Q162">_xlfn.IFS(P162&gt;4,"Excelent",AND(P162&gt;3,P162&lt;=4),"Very Good",AND(P162&gt;2,P162&lt;=3),"Good",AND(P162&gt;1,P162&lt;=2),"Fair")</f>
        <v>Good</v>
      </c>
      <c r="R162" s="63">
        <f t="shared" si="16"/>
        <v>0.182</v>
      </c>
    </row>
    <row r="163" spans="1:19" ht="11.25" customHeight="1" x14ac:dyDescent="0.2">
      <c r="A163" s="48" t="str">
        <f t="shared" si="13"/>
        <v>2020</v>
      </c>
      <c r="B163" s="48" t="str">
        <f t="shared" si="17"/>
        <v>20 Spr</v>
      </c>
      <c r="C163" s="55" t="s">
        <v>122</v>
      </c>
      <c r="D163" s="56" t="s">
        <v>165</v>
      </c>
      <c r="E163" s="56" t="str">
        <f t="shared" si="14"/>
        <v>HSA 6175
Fin Mgt Hlth Sys 2020</v>
      </c>
      <c r="F163" s="57" t="s">
        <v>151</v>
      </c>
      <c r="G163" s="58">
        <v>12</v>
      </c>
      <c r="H163" s="59">
        <v>11</v>
      </c>
      <c r="I163" s="60" t="s">
        <v>109</v>
      </c>
      <c r="J163" s="61" t="s">
        <v>91</v>
      </c>
      <c r="K163" s="62">
        <v>9.0999999999999998E-2</v>
      </c>
      <c r="L163" s="62">
        <v>0</v>
      </c>
      <c r="M163" s="62">
        <v>0.27300000000000002</v>
      </c>
      <c r="N163" s="62">
        <v>0.45500000000000002</v>
      </c>
      <c r="O163" s="62">
        <v>0.182</v>
      </c>
      <c r="P163" s="72">
        <f t="shared" si="15"/>
        <v>2.3660000000000001</v>
      </c>
      <c r="Q163" s="88" t="str" cm="1">
        <f t="array" ref="Q163">_xlfn.IFS(P163&gt;4,"Excelent",AND(P163&gt;3,P163&lt;=4),"Very Good",AND(P163&gt;2,P163&lt;=3),"Good",AND(P163&gt;1,P163&lt;=2),"Fair")</f>
        <v>Good</v>
      </c>
      <c r="R163" s="63">
        <f t="shared" si="16"/>
        <v>9.0999999999999998E-2</v>
      </c>
    </row>
    <row r="164" spans="1:19" ht="11.25" customHeight="1" x14ac:dyDescent="0.2">
      <c r="A164" s="48" t="str">
        <f t="shared" si="13"/>
        <v>2020</v>
      </c>
      <c r="B164" s="48" t="str">
        <f t="shared" si="17"/>
        <v>20 Spr</v>
      </c>
      <c r="C164" s="55" t="s">
        <v>122</v>
      </c>
      <c r="D164" s="56" t="s">
        <v>165</v>
      </c>
      <c r="E164" s="56" t="str">
        <f t="shared" si="14"/>
        <v>HSA 6175
Fin Mgt Hlth Sys 2020</v>
      </c>
      <c r="F164" s="57" t="s">
        <v>151</v>
      </c>
      <c r="G164" s="58">
        <v>12</v>
      </c>
      <c r="H164" s="59">
        <v>11</v>
      </c>
      <c r="I164" s="60" t="s">
        <v>109</v>
      </c>
      <c r="J164" s="61" t="s">
        <v>92</v>
      </c>
      <c r="K164" s="62">
        <v>9.0999999999999998E-2</v>
      </c>
      <c r="L164" s="62">
        <v>0</v>
      </c>
      <c r="M164" s="62">
        <v>0</v>
      </c>
      <c r="N164" s="62">
        <v>0.27300000000000002</v>
      </c>
      <c r="O164" s="62">
        <v>0.63600000000000001</v>
      </c>
      <c r="P164" s="72">
        <f t="shared" si="15"/>
        <v>1.637</v>
      </c>
      <c r="Q164" s="88" t="str" cm="1">
        <f t="array" ref="Q164">_xlfn.IFS(P164&gt;4,"Excelent",AND(P164&gt;3,P164&lt;=4),"Very Good",AND(P164&gt;2,P164&lt;=3),"Good",AND(P164&gt;1,P164&lt;=2),"Fair")</f>
        <v>Fair</v>
      </c>
      <c r="R164" s="63">
        <f t="shared" si="16"/>
        <v>9.0999999999999998E-2</v>
      </c>
    </row>
    <row r="165" spans="1:19" ht="11.25" customHeight="1" x14ac:dyDescent="0.2">
      <c r="A165" s="48" t="str">
        <f t="shared" si="13"/>
        <v>2020</v>
      </c>
      <c r="B165" s="48" t="str">
        <f t="shared" si="17"/>
        <v>20 Spr</v>
      </c>
      <c r="C165" s="55" t="s">
        <v>122</v>
      </c>
      <c r="D165" s="56" t="s">
        <v>165</v>
      </c>
      <c r="E165" s="56" t="str">
        <f t="shared" si="14"/>
        <v>HSA 6175
Fin Mgt Hlth Sys 2020</v>
      </c>
      <c r="F165" s="57" t="s">
        <v>151</v>
      </c>
      <c r="G165" s="58">
        <v>12</v>
      </c>
      <c r="H165" s="59">
        <v>11</v>
      </c>
      <c r="I165" s="60" t="s">
        <v>109</v>
      </c>
      <c r="J165" s="61" t="s">
        <v>93</v>
      </c>
      <c r="K165" s="62">
        <v>9.0999999999999998E-2</v>
      </c>
      <c r="L165" s="62">
        <v>0</v>
      </c>
      <c r="M165" s="62">
        <v>9.0999999999999998E-2</v>
      </c>
      <c r="N165" s="62">
        <v>0.45500000000000002</v>
      </c>
      <c r="O165" s="62">
        <v>0.36399999999999999</v>
      </c>
      <c r="P165" s="72">
        <f t="shared" si="15"/>
        <v>2.0019999999999998</v>
      </c>
      <c r="Q165" s="88" t="str" cm="1">
        <f t="array" ref="Q165">_xlfn.IFS(P165&gt;4,"Excelent",AND(P165&gt;3,P165&lt;=4),"Very Good",AND(P165&gt;2,P165&lt;=3),"Good",AND(P165&gt;1,P165&lt;=2),"Fair")</f>
        <v>Good</v>
      </c>
      <c r="R165" s="63">
        <f t="shared" si="16"/>
        <v>9.0999999999999998E-2</v>
      </c>
    </row>
    <row r="166" spans="1:19" ht="11.25" customHeight="1" x14ac:dyDescent="0.2">
      <c r="A166" s="48" t="str">
        <f t="shared" si="13"/>
        <v>2020</v>
      </c>
      <c r="B166" s="48" t="str">
        <f t="shared" si="17"/>
        <v>20 Spr</v>
      </c>
      <c r="C166" s="55" t="s">
        <v>122</v>
      </c>
      <c r="D166" s="56" t="s">
        <v>165</v>
      </c>
      <c r="E166" s="56" t="str">
        <f t="shared" si="14"/>
        <v>HSA 6175
Fin Mgt Hlth Sys 2020</v>
      </c>
      <c r="F166" s="57" t="s">
        <v>151</v>
      </c>
      <c r="G166" s="58">
        <v>12</v>
      </c>
      <c r="H166" s="59">
        <v>11</v>
      </c>
      <c r="I166" s="60" t="s">
        <v>109</v>
      </c>
      <c r="J166" s="61" t="s">
        <v>94</v>
      </c>
      <c r="K166" s="62">
        <v>9.0999999999999998E-2</v>
      </c>
      <c r="L166" s="62">
        <v>0</v>
      </c>
      <c r="M166" s="62">
        <v>9.0999999999999998E-2</v>
      </c>
      <c r="N166" s="62">
        <v>0.27300000000000002</v>
      </c>
      <c r="O166" s="62">
        <v>0.54500000000000004</v>
      </c>
      <c r="P166" s="72">
        <f t="shared" si="15"/>
        <v>1.819</v>
      </c>
      <c r="Q166" s="88" t="str" cm="1">
        <f t="array" ref="Q166">_xlfn.IFS(P166&gt;4,"Excelent",AND(P166&gt;3,P166&lt;=4),"Very Good",AND(P166&gt;2,P166&lt;=3),"Good",AND(P166&gt;1,P166&lt;=2),"Fair")</f>
        <v>Fair</v>
      </c>
      <c r="R166" s="63">
        <f t="shared" si="16"/>
        <v>9.0999999999999998E-2</v>
      </c>
    </row>
    <row r="167" spans="1:19" ht="11.25" customHeight="1" x14ac:dyDescent="0.2">
      <c r="A167" s="48" t="str">
        <f t="shared" si="13"/>
        <v>2020</v>
      </c>
      <c r="B167" s="48" t="str">
        <f t="shared" si="17"/>
        <v>20 Spr</v>
      </c>
      <c r="C167" s="55" t="s">
        <v>122</v>
      </c>
      <c r="D167" s="56" t="s">
        <v>165</v>
      </c>
      <c r="E167" s="56" t="str">
        <f t="shared" si="14"/>
        <v>HSA 6175
Fin Mgt Hlth Sys 2020</v>
      </c>
      <c r="F167" s="57" t="s">
        <v>151</v>
      </c>
      <c r="G167" s="58">
        <v>12</v>
      </c>
      <c r="H167" s="59">
        <v>11</v>
      </c>
      <c r="I167" s="60" t="s">
        <v>109</v>
      </c>
      <c r="J167" s="61" t="s">
        <v>95</v>
      </c>
      <c r="K167" s="62">
        <v>0.27300000000000002</v>
      </c>
      <c r="L167" s="62">
        <v>0</v>
      </c>
      <c r="M167" s="62">
        <v>0.36399999999999999</v>
      </c>
      <c r="N167" s="62">
        <v>0.182</v>
      </c>
      <c r="O167" s="62">
        <v>0.182</v>
      </c>
      <c r="P167" s="72">
        <f t="shared" si="15"/>
        <v>3.0030000000000001</v>
      </c>
      <c r="Q167" s="88" t="str" cm="1">
        <f t="array" ref="Q167">_xlfn.IFS(P167&gt;4,"Excelent",AND(P167&gt;3,P167&lt;=4),"Very Good",AND(P167&gt;2,P167&lt;=3),"Good",AND(P167&gt;1,P167&lt;=2),"Fair")</f>
        <v>Very Good</v>
      </c>
      <c r="R167" s="63">
        <f t="shared" si="16"/>
        <v>0.27300000000000002</v>
      </c>
    </row>
    <row r="168" spans="1:19" ht="11.25" customHeight="1" x14ac:dyDescent="0.2">
      <c r="A168" s="48" t="str">
        <f t="shared" si="13"/>
        <v>2020</v>
      </c>
      <c r="B168" s="48" t="str">
        <f t="shared" si="17"/>
        <v>20 Spr</v>
      </c>
      <c r="C168" s="55" t="s">
        <v>122</v>
      </c>
      <c r="D168" s="56" t="s">
        <v>165</v>
      </c>
      <c r="E168" s="56" t="str">
        <f t="shared" si="14"/>
        <v>HSA 6175
Fin Mgt Hlth Sys 2020</v>
      </c>
      <c r="F168" s="57" t="s">
        <v>151</v>
      </c>
      <c r="G168" s="58">
        <v>12</v>
      </c>
      <c r="H168" s="59">
        <v>11</v>
      </c>
      <c r="I168" s="60" t="s">
        <v>109</v>
      </c>
      <c r="J168" s="61" t="s">
        <v>96</v>
      </c>
      <c r="K168" s="62">
        <v>0.27300000000000002</v>
      </c>
      <c r="L168" s="62">
        <v>0</v>
      </c>
      <c r="M168" s="62">
        <v>0.36399999999999999</v>
      </c>
      <c r="N168" s="62">
        <v>0.182</v>
      </c>
      <c r="O168" s="62">
        <v>0.182</v>
      </c>
      <c r="P168" s="72">
        <f t="shared" si="15"/>
        <v>3.0030000000000001</v>
      </c>
      <c r="Q168" s="88" t="str" cm="1">
        <f t="array" ref="Q168">_xlfn.IFS(P168&gt;4,"Excelent",AND(P168&gt;3,P168&lt;=4),"Very Good",AND(P168&gt;2,P168&lt;=3),"Good",AND(P168&gt;1,P168&lt;=2),"Fair")</f>
        <v>Very Good</v>
      </c>
      <c r="R168" s="63">
        <f t="shared" si="16"/>
        <v>0.27300000000000002</v>
      </c>
    </row>
    <row r="169" spans="1:19" ht="11.25" customHeight="1" x14ac:dyDescent="0.2">
      <c r="A169" s="48" t="str">
        <f t="shared" si="13"/>
        <v>2020</v>
      </c>
      <c r="B169" s="48" t="str">
        <f t="shared" si="17"/>
        <v>20 Spr</v>
      </c>
      <c r="C169" s="55" t="s">
        <v>122</v>
      </c>
      <c r="D169" s="56" t="s">
        <v>165</v>
      </c>
      <c r="E169" s="56" t="str">
        <f t="shared" si="14"/>
        <v>HSA 6717
Adv Hlth Mgt Res Sem 2020</v>
      </c>
      <c r="F169" s="57" t="s">
        <v>151</v>
      </c>
      <c r="G169" s="58">
        <v>12</v>
      </c>
      <c r="H169" s="59">
        <v>11</v>
      </c>
      <c r="I169" s="60" t="s">
        <v>109</v>
      </c>
      <c r="J169" s="61" t="s">
        <v>97</v>
      </c>
      <c r="K169" s="65">
        <v>9.0999999999999998E-2</v>
      </c>
      <c r="L169" s="65">
        <v>0</v>
      </c>
      <c r="M169" s="65">
        <v>9.0999999999999998E-2</v>
      </c>
      <c r="N169" s="65">
        <v>0.27300000000000002</v>
      </c>
      <c r="O169" s="65">
        <v>0.45500000000000002</v>
      </c>
      <c r="P169" s="72">
        <f t="shared" si="15"/>
        <v>1.7290000000000001</v>
      </c>
      <c r="Q169" s="88" t="str" cm="1">
        <f t="array" ref="Q169">_xlfn.IFS(P169&gt;4,"Excelent",AND(P169&gt;3,P169&lt;=4),"Very Good",AND(P169&gt;2,P169&lt;=3),"Good",AND(P169&gt;1,P169&lt;=2),"Fair")</f>
        <v>Fair</v>
      </c>
      <c r="R169" s="63">
        <f t="shared" si="16"/>
        <v>9.0999999999999998E-2</v>
      </c>
    </row>
    <row r="170" spans="1:19" ht="11.25" customHeight="1" x14ac:dyDescent="0.2">
      <c r="A170" s="48" t="str">
        <f t="shared" si="13"/>
        <v>2020</v>
      </c>
      <c r="B170" s="48" t="str">
        <f t="shared" si="17"/>
        <v>20 Spr</v>
      </c>
      <c r="C170" s="55" t="s">
        <v>122</v>
      </c>
      <c r="D170" s="56" t="s">
        <v>163</v>
      </c>
      <c r="E170" s="56" t="str">
        <f t="shared" si="14"/>
        <v>HSA 6717
Adv Hlth Mgt Res Sem 2020</v>
      </c>
      <c r="F170" s="57" t="s">
        <v>123</v>
      </c>
      <c r="G170" s="58">
        <v>21</v>
      </c>
      <c r="H170" s="59">
        <v>19</v>
      </c>
      <c r="I170" s="60" t="s">
        <v>109</v>
      </c>
      <c r="J170" s="61" t="s">
        <v>90</v>
      </c>
      <c r="K170" s="62">
        <v>0.316</v>
      </c>
      <c r="L170" s="62">
        <v>0.42099999999999999</v>
      </c>
      <c r="M170" s="62">
        <v>0.26300000000000001</v>
      </c>
      <c r="N170" s="62">
        <v>0</v>
      </c>
      <c r="O170" s="62">
        <v>0</v>
      </c>
      <c r="P170" s="72">
        <f t="shared" si="15"/>
        <v>4.0529999999999999</v>
      </c>
      <c r="Q170" s="88" t="str" cm="1">
        <f t="array" ref="Q170">_xlfn.IFS(P170&gt;4,"Excelent",AND(P170&gt;3,P170&lt;=4),"Very Good",AND(P170&gt;2,P170&lt;=3),"Good",AND(P170&gt;1,P170&lt;=2),"Fair")</f>
        <v>Excelent</v>
      </c>
      <c r="R170" s="63">
        <f t="shared" si="16"/>
        <v>0.73699999999999999</v>
      </c>
    </row>
    <row r="171" spans="1:19" ht="11.25" customHeight="1" x14ac:dyDescent="0.2">
      <c r="A171" s="48" t="str">
        <f t="shared" si="13"/>
        <v>2020</v>
      </c>
      <c r="B171" s="48" t="str">
        <f t="shared" si="17"/>
        <v>20 Spr</v>
      </c>
      <c r="C171" s="55" t="s">
        <v>122</v>
      </c>
      <c r="D171" s="56" t="s">
        <v>163</v>
      </c>
      <c r="E171" s="56" t="str">
        <f t="shared" si="14"/>
        <v>HSA 6717
Adv Hlth Mgt Res Sem 2020</v>
      </c>
      <c r="F171" s="57" t="s">
        <v>123</v>
      </c>
      <c r="G171" s="58">
        <v>21</v>
      </c>
      <c r="H171" s="59">
        <v>19</v>
      </c>
      <c r="I171" s="60" t="s">
        <v>109</v>
      </c>
      <c r="J171" s="61" t="s">
        <v>91</v>
      </c>
      <c r="K171" s="62">
        <v>0.316</v>
      </c>
      <c r="L171" s="62">
        <v>0.42099999999999999</v>
      </c>
      <c r="M171" s="62">
        <v>0.26300000000000001</v>
      </c>
      <c r="N171" s="62">
        <v>0</v>
      </c>
      <c r="O171" s="62">
        <v>0</v>
      </c>
      <c r="P171" s="72">
        <f t="shared" si="15"/>
        <v>4.0529999999999999</v>
      </c>
      <c r="Q171" s="88" t="str" cm="1">
        <f t="array" ref="Q171">_xlfn.IFS(P171&gt;4,"Excelent",AND(P171&gt;3,P171&lt;=4),"Very Good",AND(P171&gt;2,P171&lt;=3),"Good",AND(P171&gt;1,P171&lt;=2),"Fair")</f>
        <v>Excelent</v>
      </c>
      <c r="R171" s="63">
        <f t="shared" si="16"/>
        <v>0.73699999999999999</v>
      </c>
    </row>
    <row r="172" spans="1:19" ht="11.25" customHeight="1" x14ac:dyDescent="0.2">
      <c r="A172" s="48" t="str">
        <f t="shared" si="13"/>
        <v>2020</v>
      </c>
      <c r="B172" s="48" t="str">
        <f t="shared" si="17"/>
        <v>20 Spr</v>
      </c>
      <c r="C172" s="55" t="s">
        <v>122</v>
      </c>
      <c r="D172" s="56" t="s">
        <v>163</v>
      </c>
      <c r="E172" s="56" t="str">
        <f t="shared" si="14"/>
        <v>HSA 6717
Adv Hlth Mgt Res Sem 2020</v>
      </c>
      <c r="F172" s="57" t="s">
        <v>123</v>
      </c>
      <c r="G172" s="58">
        <v>21</v>
      </c>
      <c r="H172" s="59">
        <v>19</v>
      </c>
      <c r="I172" s="60" t="s">
        <v>109</v>
      </c>
      <c r="J172" s="61" t="s">
        <v>92</v>
      </c>
      <c r="K172" s="62">
        <v>0.21099999999999999</v>
      </c>
      <c r="L172" s="62">
        <v>0.316</v>
      </c>
      <c r="M172" s="62">
        <v>0.26300000000000001</v>
      </c>
      <c r="N172" s="62">
        <v>0.158</v>
      </c>
      <c r="O172" s="62">
        <v>5.2999999999999999E-2</v>
      </c>
      <c r="P172" s="72">
        <f t="shared" si="15"/>
        <v>3.4769999999999999</v>
      </c>
      <c r="Q172" s="88" t="str" cm="1">
        <f t="array" ref="Q172">_xlfn.IFS(P172&gt;4,"Excelent",AND(P172&gt;3,P172&lt;=4),"Very Good",AND(P172&gt;2,P172&lt;=3),"Good",AND(P172&gt;1,P172&lt;=2),"Fair")</f>
        <v>Very Good</v>
      </c>
      <c r="R172" s="63">
        <f t="shared" si="16"/>
        <v>0.52700000000000002</v>
      </c>
    </row>
    <row r="173" spans="1:19" ht="11.25" customHeight="1" x14ac:dyDescent="0.2">
      <c r="A173" s="48" t="str">
        <f t="shared" si="13"/>
        <v>2020</v>
      </c>
      <c r="B173" s="48" t="str">
        <f t="shared" si="17"/>
        <v>20 Spr</v>
      </c>
      <c r="C173" s="55" t="s">
        <v>122</v>
      </c>
      <c r="D173" s="56" t="s">
        <v>163</v>
      </c>
      <c r="E173" s="56" t="str">
        <f t="shared" si="14"/>
        <v>HSA 6717
Adv Hlth Mgt Res Sem 2020</v>
      </c>
      <c r="F173" s="57" t="s">
        <v>123</v>
      </c>
      <c r="G173" s="58">
        <v>21</v>
      </c>
      <c r="H173" s="59">
        <v>19</v>
      </c>
      <c r="I173" s="60" t="s">
        <v>109</v>
      </c>
      <c r="J173" s="61" t="s">
        <v>93</v>
      </c>
      <c r="K173" s="62">
        <v>0.316</v>
      </c>
      <c r="L173" s="62">
        <v>0.21099999999999999</v>
      </c>
      <c r="M173" s="62">
        <v>0.316</v>
      </c>
      <c r="N173" s="62">
        <v>0.105</v>
      </c>
      <c r="O173" s="62">
        <v>0</v>
      </c>
      <c r="P173" s="72">
        <f t="shared" si="15"/>
        <v>3.5819999999999999</v>
      </c>
      <c r="Q173" s="88" t="str" cm="1">
        <f t="array" ref="Q173">_xlfn.IFS(P173&gt;4,"Excelent",AND(P173&gt;3,P173&lt;=4),"Very Good",AND(P173&gt;2,P173&lt;=3),"Good",AND(P173&gt;1,P173&lt;=2),"Fair")</f>
        <v>Very Good</v>
      </c>
      <c r="R173" s="63">
        <f t="shared" si="16"/>
        <v>0.52700000000000002</v>
      </c>
    </row>
    <row r="174" spans="1:19" ht="11.25" customHeight="1" x14ac:dyDescent="0.2">
      <c r="A174" s="48" t="str">
        <f t="shared" si="13"/>
        <v>2020</v>
      </c>
      <c r="B174" s="48" t="str">
        <f t="shared" si="17"/>
        <v>20 Spr</v>
      </c>
      <c r="C174" s="55" t="s">
        <v>122</v>
      </c>
      <c r="D174" s="56" t="s">
        <v>163</v>
      </c>
      <c r="E174" s="56" t="str">
        <f t="shared" si="14"/>
        <v>HSA 6717
Adv Hlth Mgt Res Sem 2020</v>
      </c>
      <c r="F174" s="57" t="s">
        <v>123</v>
      </c>
      <c r="G174" s="58">
        <v>21</v>
      </c>
      <c r="H174" s="59">
        <v>19</v>
      </c>
      <c r="I174" s="60" t="s">
        <v>109</v>
      </c>
      <c r="J174" s="61" t="s">
        <v>94</v>
      </c>
      <c r="K174" s="62">
        <v>0.21099999999999999</v>
      </c>
      <c r="L174" s="62">
        <v>0.316</v>
      </c>
      <c r="M174" s="62">
        <v>0.316</v>
      </c>
      <c r="N174" s="62">
        <v>0.105</v>
      </c>
      <c r="O174" s="62">
        <v>0</v>
      </c>
      <c r="P174" s="72">
        <f t="shared" si="15"/>
        <v>3.4769999999999999</v>
      </c>
      <c r="Q174" s="88" t="str" cm="1">
        <f t="array" ref="Q174">_xlfn.IFS(P174&gt;4,"Excelent",AND(P174&gt;3,P174&lt;=4),"Very Good",AND(P174&gt;2,P174&lt;=3),"Good",AND(P174&gt;1,P174&lt;=2),"Fair")</f>
        <v>Very Good</v>
      </c>
      <c r="R174" s="63">
        <f t="shared" si="16"/>
        <v>0.52700000000000002</v>
      </c>
    </row>
    <row r="175" spans="1:19" ht="11.25" customHeight="1" x14ac:dyDescent="0.2">
      <c r="A175" s="48" t="str">
        <f t="shared" si="13"/>
        <v>2020</v>
      </c>
      <c r="B175" s="48" t="str">
        <f t="shared" si="17"/>
        <v>20 Spr</v>
      </c>
      <c r="C175" s="55" t="s">
        <v>122</v>
      </c>
      <c r="D175" s="56" t="s">
        <v>163</v>
      </c>
      <c r="E175" s="56" t="str">
        <f t="shared" si="14"/>
        <v>HSA 6717
Adv Hlth Mgt Res Sem 2020</v>
      </c>
      <c r="F175" s="57" t="s">
        <v>123</v>
      </c>
      <c r="G175" s="58">
        <v>21</v>
      </c>
      <c r="H175" s="59">
        <v>19</v>
      </c>
      <c r="I175" s="60" t="s">
        <v>109</v>
      </c>
      <c r="J175" s="61" t="s">
        <v>95</v>
      </c>
      <c r="K175" s="62">
        <v>0.47399999999999998</v>
      </c>
      <c r="L175" s="62">
        <v>0.316</v>
      </c>
      <c r="M175" s="62">
        <v>0.158</v>
      </c>
      <c r="N175" s="62">
        <v>0</v>
      </c>
      <c r="O175" s="62">
        <v>5.2999999999999999E-2</v>
      </c>
      <c r="P175" s="72">
        <f t="shared" si="15"/>
        <v>4.1610000000000005</v>
      </c>
      <c r="Q175" s="88" t="str" cm="1">
        <f t="array" ref="Q175">_xlfn.IFS(P175&gt;4,"Excelent",AND(P175&gt;3,P175&lt;=4),"Very Good",AND(P175&gt;2,P175&lt;=3),"Good",AND(P175&gt;1,P175&lt;=2),"Fair")</f>
        <v>Excelent</v>
      </c>
      <c r="R175" s="63">
        <f t="shared" si="16"/>
        <v>0.79</v>
      </c>
    </row>
    <row r="176" spans="1:19" ht="11.25" customHeight="1" x14ac:dyDescent="0.2">
      <c r="A176" s="48" t="str">
        <f t="shared" si="13"/>
        <v>2020</v>
      </c>
      <c r="B176" s="48" t="str">
        <f t="shared" si="17"/>
        <v>20 Spr</v>
      </c>
      <c r="C176" s="55" t="s">
        <v>122</v>
      </c>
      <c r="D176" s="56" t="s">
        <v>163</v>
      </c>
      <c r="E176" s="56" t="str">
        <f t="shared" si="14"/>
        <v>HSA 6717
Adv Hlth Mgt Res Sem 2020</v>
      </c>
      <c r="F176" s="57" t="s">
        <v>123</v>
      </c>
      <c r="G176" s="58">
        <v>21</v>
      </c>
      <c r="H176" s="59">
        <v>19</v>
      </c>
      <c r="I176" s="60" t="s">
        <v>109</v>
      </c>
      <c r="J176" s="61" t="s">
        <v>96</v>
      </c>
      <c r="K176" s="62">
        <v>0.36799999999999999</v>
      </c>
      <c r="L176" s="62">
        <v>0.36799999999999999</v>
      </c>
      <c r="M176" s="62">
        <v>0.21099999999999999</v>
      </c>
      <c r="N176" s="62">
        <v>0</v>
      </c>
      <c r="O176" s="62">
        <v>0</v>
      </c>
      <c r="P176" s="72">
        <f t="shared" si="15"/>
        <v>3.9449999999999998</v>
      </c>
      <c r="Q176" s="88" t="str" cm="1">
        <f t="array" ref="Q176">_xlfn.IFS(P176&gt;4,"Excelent",AND(P176&gt;3,P176&lt;=4),"Very Good",AND(P176&gt;2,P176&lt;=3),"Good",AND(P176&gt;1,P176&lt;=2),"Fair")</f>
        <v>Very Good</v>
      </c>
      <c r="R176" s="63">
        <f t="shared" si="16"/>
        <v>0.73599999999999999</v>
      </c>
    </row>
    <row r="177" spans="1:18" ht="11.25" customHeight="1" x14ac:dyDescent="0.2">
      <c r="A177" s="48" t="str">
        <f t="shared" si="13"/>
        <v>2020</v>
      </c>
      <c r="B177" s="48" t="str">
        <f t="shared" si="17"/>
        <v>20 Spr</v>
      </c>
      <c r="C177" s="55" t="s">
        <v>122</v>
      </c>
      <c r="D177" s="56" t="s">
        <v>163</v>
      </c>
      <c r="E177" s="56" t="str">
        <f t="shared" si="14"/>
        <v>HSA 6717
Adv Hlth Mgt Res Sem 2020</v>
      </c>
      <c r="F177" s="57" t="s">
        <v>123</v>
      </c>
      <c r="G177" s="58">
        <v>21</v>
      </c>
      <c r="H177" s="59">
        <v>19</v>
      </c>
      <c r="I177" s="60" t="s">
        <v>109</v>
      </c>
      <c r="J177" s="61" t="s">
        <v>97</v>
      </c>
      <c r="K177" s="65">
        <v>0.26300000000000001</v>
      </c>
      <c r="L177" s="65">
        <v>0.42099999999999999</v>
      </c>
      <c r="M177" s="65">
        <v>0.21099999999999999</v>
      </c>
      <c r="N177" s="65">
        <v>5.2999999999999999E-2</v>
      </c>
      <c r="O177" s="65">
        <v>0</v>
      </c>
      <c r="P177" s="72">
        <f t="shared" si="15"/>
        <v>3.7379999999999995</v>
      </c>
      <c r="Q177" s="88" t="str" cm="1">
        <f t="array" ref="Q177">_xlfn.IFS(P177&gt;4,"Excelent",AND(P177&gt;3,P177&lt;=4),"Very Good",AND(P177&gt;2,P177&lt;=3),"Good",AND(P177&gt;1,P177&lt;=2),"Fair")</f>
        <v>Very Good</v>
      </c>
      <c r="R177" s="63">
        <f t="shared" si="16"/>
        <v>0.68399999999999994</v>
      </c>
    </row>
    <row r="178" spans="1:18" ht="11.25" customHeight="1" x14ac:dyDescent="0.2">
      <c r="A178" s="48" t="str">
        <f t="shared" si="13"/>
        <v>2020</v>
      </c>
      <c r="B178" s="48" t="str">
        <f t="shared" si="17"/>
        <v>20 Spr</v>
      </c>
      <c r="C178" s="55" t="s">
        <v>122</v>
      </c>
      <c r="D178" s="56" t="s">
        <v>163</v>
      </c>
      <c r="E178" s="56" t="str">
        <f t="shared" si="14"/>
        <v>HSA 6717
Adv Hlth Mgt Res Sem 2020</v>
      </c>
      <c r="F178" s="57" t="s">
        <v>152</v>
      </c>
      <c r="G178" s="58">
        <v>26</v>
      </c>
      <c r="H178" s="59">
        <v>25</v>
      </c>
      <c r="I178" s="60" t="s">
        <v>111</v>
      </c>
      <c r="J178" s="61" t="s">
        <v>90</v>
      </c>
      <c r="K178" s="62">
        <v>0.24</v>
      </c>
      <c r="L178" s="62">
        <v>0.24</v>
      </c>
      <c r="M178" s="62">
        <v>0.4</v>
      </c>
      <c r="N178" s="62">
        <v>0</v>
      </c>
      <c r="O178" s="62">
        <v>0.12</v>
      </c>
      <c r="P178" s="72">
        <f t="shared" si="15"/>
        <v>3.4800000000000004</v>
      </c>
      <c r="Q178" s="88" t="str" cm="1">
        <f t="array" ref="Q178">_xlfn.IFS(P178&gt;4,"Excelent",AND(P178&gt;3,P178&lt;=4),"Very Good",AND(P178&gt;2,P178&lt;=3),"Good",AND(P178&gt;1,P178&lt;=2),"Fair")</f>
        <v>Very Good</v>
      </c>
      <c r="R178" s="63">
        <f t="shared" si="16"/>
        <v>0.48</v>
      </c>
    </row>
    <row r="179" spans="1:18" ht="11.25" customHeight="1" x14ac:dyDescent="0.2">
      <c r="A179" s="48" t="str">
        <f t="shared" si="13"/>
        <v>2020</v>
      </c>
      <c r="B179" s="48" t="str">
        <f t="shared" si="17"/>
        <v>20 Spr</v>
      </c>
      <c r="C179" s="55" t="s">
        <v>122</v>
      </c>
      <c r="D179" s="56" t="s">
        <v>163</v>
      </c>
      <c r="E179" s="56" t="str">
        <f t="shared" si="14"/>
        <v>HSA 6717
Adv Hlth Mgt Res Sem 2020</v>
      </c>
      <c r="F179" s="57" t="s">
        <v>152</v>
      </c>
      <c r="G179" s="58">
        <v>26</v>
      </c>
      <c r="H179" s="59">
        <v>25</v>
      </c>
      <c r="I179" s="60" t="s">
        <v>111</v>
      </c>
      <c r="J179" s="61" t="s">
        <v>91</v>
      </c>
      <c r="K179" s="62">
        <v>0.2</v>
      </c>
      <c r="L179" s="62">
        <v>0.32</v>
      </c>
      <c r="M179" s="62">
        <v>0.32</v>
      </c>
      <c r="N179" s="62">
        <v>0.12</v>
      </c>
      <c r="O179" s="62">
        <v>0.04</v>
      </c>
      <c r="P179" s="72">
        <f t="shared" si="15"/>
        <v>3.5200000000000005</v>
      </c>
      <c r="Q179" s="88" t="str" cm="1">
        <f t="array" ref="Q179">_xlfn.IFS(P179&gt;4,"Excelent",AND(P179&gt;3,P179&lt;=4),"Very Good",AND(P179&gt;2,P179&lt;=3),"Good",AND(P179&gt;1,P179&lt;=2),"Fair")</f>
        <v>Very Good</v>
      </c>
      <c r="R179" s="63">
        <f t="shared" si="16"/>
        <v>0.52</v>
      </c>
    </row>
    <row r="180" spans="1:18" ht="11.25" customHeight="1" x14ac:dyDescent="0.2">
      <c r="A180" s="48" t="str">
        <f t="shared" si="13"/>
        <v>2020</v>
      </c>
      <c r="B180" s="48" t="str">
        <f t="shared" si="17"/>
        <v>20 Spr</v>
      </c>
      <c r="C180" s="55" t="s">
        <v>122</v>
      </c>
      <c r="D180" s="56" t="s">
        <v>163</v>
      </c>
      <c r="E180" s="56" t="str">
        <f t="shared" si="14"/>
        <v>HSA 6717
Adv Hlth Mgt Res Sem 2020</v>
      </c>
      <c r="F180" s="57" t="s">
        <v>152</v>
      </c>
      <c r="G180" s="58">
        <v>26</v>
      </c>
      <c r="H180" s="59">
        <v>25</v>
      </c>
      <c r="I180" s="60" t="s">
        <v>111</v>
      </c>
      <c r="J180" s="61" t="s">
        <v>92</v>
      </c>
      <c r="K180" s="62">
        <v>0.32</v>
      </c>
      <c r="L180" s="62">
        <v>0.08</v>
      </c>
      <c r="M180" s="62">
        <v>0.32</v>
      </c>
      <c r="N180" s="62">
        <v>0.04</v>
      </c>
      <c r="O180" s="62">
        <v>0.24</v>
      </c>
      <c r="P180" s="72">
        <f t="shared" si="15"/>
        <v>3.2</v>
      </c>
      <c r="Q180" s="88" t="str" cm="1">
        <f t="array" ref="Q180">_xlfn.IFS(P180&gt;4,"Excelent",AND(P180&gt;3,P180&lt;=4),"Very Good",AND(P180&gt;2,P180&lt;=3),"Good",AND(P180&gt;1,P180&lt;=2),"Fair")</f>
        <v>Very Good</v>
      </c>
      <c r="R180" s="63">
        <f t="shared" si="16"/>
        <v>0.4</v>
      </c>
    </row>
    <row r="181" spans="1:18" ht="11.25" customHeight="1" x14ac:dyDescent="0.2">
      <c r="A181" s="48" t="str">
        <f t="shared" si="13"/>
        <v>2020</v>
      </c>
      <c r="B181" s="48" t="str">
        <f t="shared" si="17"/>
        <v>20 Spr</v>
      </c>
      <c r="C181" s="55" t="s">
        <v>122</v>
      </c>
      <c r="D181" s="56" t="s">
        <v>163</v>
      </c>
      <c r="E181" s="56" t="str">
        <f t="shared" si="14"/>
        <v>HSA 6717
Adv Hlth Mgt Res Sem 2020</v>
      </c>
      <c r="F181" s="57" t="s">
        <v>152</v>
      </c>
      <c r="G181" s="58">
        <v>26</v>
      </c>
      <c r="H181" s="59">
        <v>25</v>
      </c>
      <c r="I181" s="60" t="s">
        <v>111</v>
      </c>
      <c r="J181" s="61" t="s">
        <v>93</v>
      </c>
      <c r="K181" s="62">
        <v>0.28000000000000003</v>
      </c>
      <c r="L181" s="62">
        <v>0.16</v>
      </c>
      <c r="M181" s="62">
        <v>0.24</v>
      </c>
      <c r="N181" s="62">
        <v>0.04</v>
      </c>
      <c r="O181" s="62">
        <v>0.28000000000000003</v>
      </c>
      <c r="P181" s="72">
        <f t="shared" si="15"/>
        <v>3.12</v>
      </c>
      <c r="Q181" s="88" t="str" cm="1">
        <f t="array" ref="Q181">_xlfn.IFS(P181&gt;4,"Excelent",AND(P181&gt;3,P181&lt;=4),"Very Good",AND(P181&gt;2,P181&lt;=3),"Good",AND(P181&gt;1,P181&lt;=2),"Fair")</f>
        <v>Very Good</v>
      </c>
      <c r="R181" s="63">
        <f t="shared" si="16"/>
        <v>0.44000000000000006</v>
      </c>
    </row>
    <row r="182" spans="1:18" ht="11.25" customHeight="1" x14ac:dyDescent="0.2">
      <c r="A182" s="48" t="str">
        <f t="shared" si="13"/>
        <v>2020</v>
      </c>
      <c r="B182" s="48" t="str">
        <f t="shared" si="17"/>
        <v>20 Spr</v>
      </c>
      <c r="C182" s="55" t="s">
        <v>122</v>
      </c>
      <c r="D182" s="56" t="s">
        <v>163</v>
      </c>
      <c r="E182" s="56" t="str">
        <f t="shared" si="14"/>
        <v>HSA 6717
Adv Hlth Mgt Res Sem 2020</v>
      </c>
      <c r="F182" s="57" t="s">
        <v>152</v>
      </c>
      <c r="G182" s="58">
        <v>26</v>
      </c>
      <c r="H182" s="59">
        <v>25</v>
      </c>
      <c r="I182" s="60" t="s">
        <v>111</v>
      </c>
      <c r="J182" s="61" t="s">
        <v>94</v>
      </c>
      <c r="K182" s="62">
        <v>0.28000000000000003</v>
      </c>
      <c r="L182" s="62">
        <v>0.16</v>
      </c>
      <c r="M182" s="62">
        <v>0.2</v>
      </c>
      <c r="N182" s="62">
        <v>0.12</v>
      </c>
      <c r="O182" s="62">
        <v>0.2</v>
      </c>
      <c r="P182" s="72">
        <f t="shared" si="15"/>
        <v>3.08</v>
      </c>
      <c r="Q182" s="88" t="str" cm="1">
        <f t="array" ref="Q182">_xlfn.IFS(P182&gt;4,"Excelent",AND(P182&gt;3,P182&lt;=4),"Very Good",AND(P182&gt;2,P182&lt;=3),"Good",AND(P182&gt;1,P182&lt;=2),"Fair")</f>
        <v>Very Good</v>
      </c>
      <c r="R182" s="63">
        <f t="shared" si="16"/>
        <v>0.44000000000000006</v>
      </c>
    </row>
    <row r="183" spans="1:18" ht="11.25" customHeight="1" x14ac:dyDescent="0.2">
      <c r="A183" s="48" t="str">
        <f t="shared" si="13"/>
        <v>2020</v>
      </c>
      <c r="B183" s="48" t="str">
        <f t="shared" si="17"/>
        <v>20 Spr</v>
      </c>
      <c r="C183" s="55" t="s">
        <v>122</v>
      </c>
      <c r="D183" s="56" t="s">
        <v>163</v>
      </c>
      <c r="E183" s="56" t="str">
        <f t="shared" si="14"/>
        <v>HSA 6717
Adv Hlth Mgt Res Sem 2020</v>
      </c>
      <c r="F183" s="57" t="s">
        <v>152</v>
      </c>
      <c r="G183" s="58">
        <v>26</v>
      </c>
      <c r="H183" s="59">
        <v>25</v>
      </c>
      <c r="I183" s="60" t="s">
        <v>111</v>
      </c>
      <c r="J183" s="61" t="s">
        <v>95</v>
      </c>
      <c r="K183" s="62">
        <v>0.4</v>
      </c>
      <c r="L183" s="62">
        <v>0.12</v>
      </c>
      <c r="M183" s="62">
        <v>0.12</v>
      </c>
      <c r="N183" s="62">
        <v>0.16</v>
      </c>
      <c r="O183" s="62">
        <v>0.2</v>
      </c>
      <c r="P183" s="72">
        <f t="shared" si="15"/>
        <v>3.36</v>
      </c>
      <c r="Q183" s="88" t="str" cm="1">
        <f t="array" ref="Q183">_xlfn.IFS(P183&gt;4,"Excelent",AND(P183&gt;3,P183&lt;=4),"Very Good",AND(P183&gt;2,P183&lt;=3),"Good",AND(P183&gt;1,P183&lt;=2),"Fair")</f>
        <v>Very Good</v>
      </c>
      <c r="R183" s="63">
        <f t="shared" si="16"/>
        <v>0.52</v>
      </c>
    </row>
    <row r="184" spans="1:18" ht="11.25" customHeight="1" x14ac:dyDescent="0.2">
      <c r="A184" s="48" t="str">
        <f t="shared" si="13"/>
        <v>2020</v>
      </c>
      <c r="B184" s="48" t="str">
        <f t="shared" si="17"/>
        <v>20 Spr</v>
      </c>
      <c r="C184" s="55" t="s">
        <v>122</v>
      </c>
      <c r="D184" s="56" t="s">
        <v>163</v>
      </c>
      <c r="E184" s="56" t="str">
        <f t="shared" si="14"/>
        <v>HSA 6717
Adv Hlth Mgt Res Sem 2020</v>
      </c>
      <c r="F184" s="57" t="s">
        <v>152</v>
      </c>
      <c r="G184" s="58">
        <v>26</v>
      </c>
      <c r="H184" s="59">
        <v>25</v>
      </c>
      <c r="I184" s="60" t="s">
        <v>111</v>
      </c>
      <c r="J184" s="61" t="s">
        <v>96</v>
      </c>
      <c r="K184" s="62">
        <v>0.36</v>
      </c>
      <c r="L184" s="62">
        <v>0.24</v>
      </c>
      <c r="M184" s="62">
        <v>0.12</v>
      </c>
      <c r="N184" s="62">
        <v>0.08</v>
      </c>
      <c r="O184" s="62">
        <v>0.16</v>
      </c>
      <c r="P184" s="72">
        <f t="shared" si="15"/>
        <v>3.44</v>
      </c>
      <c r="Q184" s="88" t="str" cm="1">
        <f t="array" ref="Q184">_xlfn.IFS(P184&gt;4,"Excelent",AND(P184&gt;3,P184&lt;=4),"Very Good",AND(P184&gt;2,P184&lt;=3),"Good",AND(P184&gt;1,P184&lt;=2),"Fair")</f>
        <v>Very Good</v>
      </c>
      <c r="R184" s="63">
        <f t="shared" si="16"/>
        <v>0.6</v>
      </c>
    </row>
    <row r="185" spans="1:18" ht="11.25" customHeight="1" x14ac:dyDescent="0.2">
      <c r="A185" s="48" t="str">
        <f t="shared" si="13"/>
        <v>2020</v>
      </c>
      <c r="B185" s="48" t="str">
        <f t="shared" si="17"/>
        <v>20 Spr</v>
      </c>
      <c r="C185" s="55" t="s">
        <v>122</v>
      </c>
      <c r="D185" s="56" t="s">
        <v>163</v>
      </c>
      <c r="E185" s="56" t="str">
        <f t="shared" si="14"/>
        <v>HSA 6930
Pro Seminar Hlth Mgt 2020</v>
      </c>
      <c r="F185" s="57" t="s">
        <v>152</v>
      </c>
      <c r="G185" s="58">
        <v>26</v>
      </c>
      <c r="H185" s="59">
        <v>25</v>
      </c>
      <c r="I185" s="60" t="s">
        <v>111</v>
      </c>
      <c r="J185" s="61" t="s">
        <v>97</v>
      </c>
      <c r="K185" s="65">
        <v>0.2</v>
      </c>
      <c r="L185" s="65">
        <v>0.24</v>
      </c>
      <c r="M185" s="65">
        <v>0.24</v>
      </c>
      <c r="N185" s="65">
        <v>0.16</v>
      </c>
      <c r="O185" s="65">
        <v>0.16</v>
      </c>
      <c r="P185" s="72">
        <f t="shared" si="15"/>
        <v>3.1599999999999997</v>
      </c>
      <c r="Q185" s="88" t="str" cm="1">
        <f t="array" ref="Q185">_xlfn.IFS(P185&gt;4,"Excelent",AND(P185&gt;3,P185&lt;=4),"Very Good",AND(P185&gt;2,P185&lt;=3),"Good",AND(P185&gt;1,P185&lt;=2),"Fair")</f>
        <v>Very Good</v>
      </c>
      <c r="R185" s="63">
        <f t="shared" si="16"/>
        <v>0.44</v>
      </c>
    </row>
    <row r="186" spans="1:18" ht="11.25" customHeight="1" x14ac:dyDescent="0.2">
      <c r="A186" s="48" t="str">
        <f t="shared" si="13"/>
        <v>2020</v>
      </c>
      <c r="B186" s="48" t="str">
        <f t="shared" si="17"/>
        <v>20 Spr</v>
      </c>
      <c r="C186" s="55" t="s">
        <v>122</v>
      </c>
      <c r="D186" s="56" t="s">
        <v>164</v>
      </c>
      <c r="E186" s="56" t="str">
        <f t="shared" si="14"/>
        <v>HSA 6930
Pro Seminar Hlth Mgt 2020</v>
      </c>
      <c r="F186" s="57" t="s">
        <v>123</v>
      </c>
      <c r="G186" s="58">
        <v>21</v>
      </c>
      <c r="H186" s="59">
        <v>19</v>
      </c>
      <c r="I186" s="60" t="s">
        <v>109</v>
      </c>
      <c r="J186" s="61" t="s">
        <v>90</v>
      </c>
      <c r="K186" s="62">
        <v>0.52600000000000002</v>
      </c>
      <c r="L186" s="62">
        <v>0.21099999999999999</v>
      </c>
      <c r="M186" s="62">
        <v>0.26300000000000001</v>
      </c>
      <c r="N186" s="62">
        <v>0</v>
      </c>
      <c r="O186" s="62">
        <v>0</v>
      </c>
      <c r="P186" s="72">
        <f t="shared" si="15"/>
        <v>4.2629999999999999</v>
      </c>
      <c r="Q186" s="88" t="str" cm="1">
        <f t="array" ref="Q186">_xlfn.IFS(P186&gt;4,"Excelent",AND(P186&gt;3,P186&lt;=4),"Very Good",AND(P186&gt;2,P186&lt;=3),"Good",AND(P186&gt;1,P186&lt;=2),"Fair")</f>
        <v>Excelent</v>
      </c>
      <c r="R186" s="63">
        <f t="shared" si="16"/>
        <v>0.73699999999999999</v>
      </c>
    </row>
    <row r="187" spans="1:18" ht="11.25" customHeight="1" x14ac:dyDescent="0.2">
      <c r="A187" s="48" t="str">
        <f t="shared" si="13"/>
        <v>2020</v>
      </c>
      <c r="B187" s="48" t="str">
        <f t="shared" si="17"/>
        <v>20 Spr</v>
      </c>
      <c r="C187" s="55" t="s">
        <v>122</v>
      </c>
      <c r="D187" s="56" t="s">
        <v>164</v>
      </c>
      <c r="E187" s="56" t="str">
        <f t="shared" si="14"/>
        <v>HSA 6930
Pro Seminar Hlth Mgt 2020</v>
      </c>
      <c r="F187" s="57" t="s">
        <v>123</v>
      </c>
      <c r="G187" s="58">
        <v>21</v>
      </c>
      <c r="H187" s="59">
        <v>19</v>
      </c>
      <c r="I187" s="60" t="s">
        <v>109</v>
      </c>
      <c r="J187" s="61" t="s">
        <v>91</v>
      </c>
      <c r="K187" s="62">
        <v>0.47399999999999998</v>
      </c>
      <c r="L187" s="62">
        <v>0.26300000000000001</v>
      </c>
      <c r="M187" s="62">
        <v>0.26300000000000001</v>
      </c>
      <c r="N187" s="62">
        <v>0</v>
      </c>
      <c r="O187" s="62">
        <v>0</v>
      </c>
      <c r="P187" s="72">
        <f t="shared" si="15"/>
        <v>4.2110000000000003</v>
      </c>
      <c r="Q187" s="88" t="str" cm="1">
        <f t="array" ref="Q187">_xlfn.IFS(P187&gt;4,"Excelent",AND(P187&gt;3,P187&lt;=4),"Very Good",AND(P187&gt;2,P187&lt;=3),"Good",AND(P187&gt;1,P187&lt;=2),"Fair")</f>
        <v>Excelent</v>
      </c>
      <c r="R187" s="63">
        <f t="shared" si="16"/>
        <v>0.73699999999999999</v>
      </c>
    </row>
    <row r="188" spans="1:18" ht="11.25" customHeight="1" x14ac:dyDescent="0.2">
      <c r="A188" s="48" t="str">
        <f t="shared" si="13"/>
        <v>2020</v>
      </c>
      <c r="B188" s="48" t="str">
        <f t="shared" si="17"/>
        <v>20 Spr</v>
      </c>
      <c r="C188" s="55" t="s">
        <v>122</v>
      </c>
      <c r="D188" s="56" t="s">
        <v>164</v>
      </c>
      <c r="E188" s="56" t="str">
        <f t="shared" si="14"/>
        <v>HSA 6930
Pro Seminar Hlth Mgt 2020</v>
      </c>
      <c r="F188" s="57" t="s">
        <v>123</v>
      </c>
      <c r="G188" s="58">
        <v>21</v>
      </c>
      <c r="H188" s="59">
        <v>19</v>
      </c>
      <c r="I188" s="60" t="s">
        <v>109</v>
      </c>
      <c r="J188" s="61" t="s">
        <v>92</v>
      </c>
      <c r="K188" s="62">
        <v>0.36799999999999999</v>
      </c>
      <c r="L188" s="62">
        <v>0.36799999999999999</v>
      </c>
      <c r="M188" s="62">
        <v>0.26300000000000001</v>
      </c>
      <c r="N188" s="62">
        <v>0</v>
      </c>
      <c r="O188" s="62">
        <v>0</v>
      </c>
      <c r="P188" s="72">
        <f t="shared" si="15"/>
        <v>4.101</v>
      </c>
      <c r="Q188" s="88" t="str" cm="1">
        <f t="array" ref="Q188">_xlfn.IFS(P188&gt;4,"Excelent",AND(P188&gt;3,P188&lt;=4),"Very Good",AND(P188&gt;2,P188&lt;=3),"Good",AND(P188&gt;1,P188&lt;=2),"Fair")</f>
        <v>Excelent</v>
      </c>
      <c r="R188" s="63">
        <f t="shared" si="16"/>
        <v>0.73599999999999999</v>
      </c>
    </row>
    <row r="189" spans="1:18" ht="11.25" customHeight="1" x14ac:dyDescent="0.2">
      <c r="A189" s="48" t="str">
        <f t="shared" si="13"/>
        <v>2020</v>
      </c>
      <c r="B189" s="48" t="str">
        <f t="shared" si="17"/>
        <v>20 Spr</v>
      </c>
      <c r="C189" s="55" t="s">
        <v>122</v>
      </c>
      <c r="D189" s="56" t="s">
        <v>164</v>
      </c>
      <c r="E189" s="56" t="str">
        <f t="shared" si="14"/>
        <v>HSA 6930
Pro Seminar Hlth Mgt 2020</v>
      </c>
      <c r="F189" s="57" t="s">
        <v>123</v>
      </c>
      <c r="G189" s="58">
        <v>21</v>
      </c>
      <c r="H189" s="59">
        <v>19</v>
      </c>
      <c r="I189" s="60" t="s">
        <v>109</v>
      </c>
      <c r="J189" s="61" t="s">
        <v>93</v>
      </c>
      <c r="K189" s="62">
        <v>0.36799999999999999</v>
      </c>
      <c r="L189" s="62">
        <v>0.316</v>
      </c>
      <c r="M189" s="62">
        <v>0.26300000000000001</v>
      </c>
      <c r="N189" s="62">
        <v>5.2999999999999999E-2</v>
      </c>
      <c r="O189" s="62">
        <v>0</v>
      </c>
      <c r="P189" s="72">
        <f t="shared" si="15"/>
        <v>3.9990000000000001</v>
      </c>
      <c r="Q189" s="88" t="str" cm="1">
        <f t="array" ref="Q189">_xlfn.IFS(P189&gt;4,"Excelent",AND(P189&gt;3,P189&lt;=4),"Very Good",AND(P189&gt;2,P189&lt;=3),"Good",AND(P189&gt;1,P189&lt;=2),"Fair")</f>
        <v>Very Good</v>
      </c>
      <c r="R189" s="63">
        <f t="shared" si="16"/>
        <v>0.68399999999999994</v>
      </c>
    </row>
    <row r="190" spans="1:18" ht="11.25" customHeight="1" x14ac:dyDescent="0.2">
      <c r="A190" s="48" t="str">
        <f t="shared" si="13"/>
        <v>2020</v>
      </c>
      <c r="B190" s="48" t="str">
        <f t="shared" si="17"/>
        <v>20 Spr</v>
      </c>
      <c r="C190" s="55" t="s">
        <v>122</v>
      </c>
      <c r="D190" s="56" t="s">
        <v>164</v>
      </c>
      <c r="E190" s="56" t="str">
        <f t="shared" si="14"/>
        <v>HSA 6930
Pro Seminar Hlth Mgt 2020</v>
      </c>
      <c r="F190" s="57" t="s">
        <v>123</v>
      </c>
      <c r="G190" s="58">
        <v>21</v>
      </c>
      <c r="H190" s="59">
        <v>19</v>
      </c>
      <c r="I190" s="60" t="s">
        <v>109</v>
      </c>
      <c r="J190" s="61" t="s">
        <v>94</v>
      </c>
      <c r="K190" s="62">
        <v>0.36799999999999999</v>
      </c>
      <c r="L190" s="62">
        <v>0.316</v>
      </c>
      <c r="M190" s="62">
        <v>0.26300000000000001</v>
      </c>
      <c r="N190" s="62">
        <v>5.2999999999999999E-2</v>
      </c>
      <c r="O190" s="62">
        <v>0</v>
      </c>
      <c r="P190" s="72">
        <f t="shared" si="15"/>
        <v>3.9990000000000001</v>
      </c>
      <c r="Q190" s="88" t="str" cm="1">
        <f t="array" ref="Q190">_xlfn.IFS(P190&gt;4,"Excelent",AND(P190&gt;3,P190&lt;=4),"Very Good",AND(P190&gt;2,P190&lt;=3),"Good",AND(P190&gt;1,P190&lt;=2),"Fair")</f>
        <v>Very Good</v>
      </c>
      <c r="R190" s="63">
        <f t="shared" si="16"/>
        <v>0.68399999999999994</v>
      </c>
    </row>
    <row r="191" spans="1:18" ht="11.25" customHeight="1" x14ac:dyDescent="0.2">
      <c r="A191" s="48" t="str">
        <f t="shared" si="13"/>
        <v>2020</v>
      </c>
      <c r="B191" s="48" t="str">
        <f t="shared" si="17"/>
        <v>20 Spr</v>
      </c>
      <c r="C191" s="55" t="s">
        <v>122</v>
      </c>
      <c r="D191" s="56" t="s">
        <v>164</v>
      </c>
      <c r="E191" s="56" t="str">
        <f t="shared" si="14"/>
        <v>HSA 6930
Pro Seminar Hlth Mgt 2020</v>
      </c>
      <c r="F191" s="57" t="s">
        <v>123</v>
      </c>
      <c r="G191" s="58">
        <v>21</v>
      </c>
      <c r="H191" s="59">
        <v>19</v>
      </c>
      <c r="I191" s="60" t="s">
        <v>109</v>
      </c>
      <c r="J191" s="61" t="s">
        <v>95</v>
      </c>
      <c r="K191" s="62">
        <v>0.52600000000000002</v>
      </c>
      <c r="L191" s="62">
        <v>0.26300000000000001</v>
      </c>
      <c r="M191" s="62">
        <v>0.158</v>
      </c>
      <c r="N191" s="62">
        <v>5.2999999999999999E-2</v>
      </c>
      <c r="O191" s="62">
        <v>0</v>
      </c>
      <c r="P191" s="72">
        <f t="shared" si="15"/>
        <v>4.2619999999999996</v>
      </c>
      <c r="Q191" s="88" t="str" cm="1">
        <f t="array" ref="Q191">_xlfn.IFS(P191&gt;4,"Excelent",AND(P191&gt;3,P191&lt;=4),"Very Good",AND(P191&gt;2,P191&lt;=3),"Good",AND(P191&gt;1,P191&lt;=2),"Fair")</f>
        <v>Excelent</v>
      </c>
      <c r="R191" s="63">
        <f t="shared" si="16"/>
        <v>0.78900000000000003</v>
      </c>
    </row>
    <row r="192" spans="1:18" ht="11.25" customHeight="1" x14ac:dyDescent="0.2">
      <c r="A192" s="48" t="str">
        <f t="shared" si="13"/>
        <v>2020</v>
      </c>
      <c r="B192" s="48" t="str">
        <f t="shared" si="17"/>
        <v>20 Spr</v>
      </c>
      <c r="C192" s="55" t="s">
        <v>122</v>
      </c>
      <c r="D192" s="56" t="s">
        <v>164</v>
      </c>
      <c r="E192" s="56" t="str">
        <f t="shared" si="14"/>
        <v>HSA 6930
Pro Seminar Hlth Mgt 2020</v>
      </c>
      <c r="F192" s="57" t="s">
        <v>123</v>
      </c>
      <c r="G192" s="58">
        <v>21</v>
      </c>
      <c r="H192" s="59">
        <v>19</v>
      </c>
      <c r="I192" s="60" t="s">
        <v>109</v>
      </c>
      <c r="J192" s="61" t="s">
        <v>96</v>
      </c>
      <c r="K192" s="62">
        <v>0.47399999999999998</v>
      </c>
      <c r="L192" s="62">
        <v>0.26300000000000001</v>
      </c>
      <c r="M192" s="62">
        <v>0.26300000000000001</v>
      </c>
      <c r="N192" s="62">
        <v>0</v>
      </c>
      <c r="O192" s="62">
        <v>0</v>
      </c>
      <c r="P192" s="72">
        <f t="shared" si="15"/>
        <v>4.2110000000000003</v>
      </c>
      <c r="Q192" s="88" t="str" cm="1">
        <f t="array" ref="Q192">_xlfn.IFS(P192&gt;4,"Excelent",AND(P192&gt;3,P192&lt;=4),"Very Good",AND(P192&gt;2,P192&lt;=3),"Good",AND(P192&gt;1,P192&lt;=2),"Fair")</f>
        <v>Excelent</v>
      </c>
      <c r="R192" s="63">
        <f t="shared" si="16"/>
        <v>0.73699999999999999</v>
      </c>
    </row>
    <row r="193" spans="1:19" ht="11.25" customHeight="1" x14ac:dyDescent="0.2">
      <c r="A193" s="48" t="str">
        <f t="shared" si="13"/>
        <v>2020</v>
      </c>
      <c r="B193" s="48" t="str">
        <f t="shared" si="17"/>
        <v>20 Spr</v>
      </c>
      <c r="C193" s="55" t="s">
        <v>122</v>
      </c>
      <c r="D193" s="56" t="s">
        <v>164</v>
      </c>
      <c r="E193" s="56" t="str">
        <f t="shared" si="14"/>
        <v>HSA 6930
Pro Seminar Hlth Mgt 2020</v>
      </c>
      <c r="F193" s="57" t="s">
        <v>123</v>
      </c>
      <c r="G193" s="58">
        <v>21</v>
      </c>
      <c r="H193" s="59">
        <v>19</v>
      </c>
      <c r="I193" s="60" t="s">
        <v>109</v>
      </c>
      <c r="J193" s="61" t="s">
        <v>97</v>
      </c>
      <c r="K193" s="65">
        <v>0.42099999999999999</v>
      </c>
      <c r="L193" s="65">
        <v>0.36799999999999999</v>
      </c>
      <c r="M193" s="65">
        <v>0.158</v>
      </c>
      <c r="N193" s="65">
        <v>5.2999999999999999E-2</v>
      </c>
      <c r="O193" s="65">
        <v>0</v>
      </c>
      <c r="P193" s="72">
        <f t="shared" si="15"/>
        <v>4.157</v>
      </c>
      <c r="Q193" s="88" t="str" cm="1">
        <f t="array" ref="Q193">_xlfn.IFS(P193&gt;4,"Excelent",AND(P193&gt;3,P193&lt;=4),"Very Good",AND(P193&gt;2,P193&lt;=3),"Good",AND(P193&gt;1,P193&lt;=2),"Fair")</f>
        <v>Excelent</v>
      </c>
      <c r="R193" s="63">
        <f t="shared" si="16"/>
        <v>0.78899999999999992</v>
      </c>
    </row>
    <row r="194" spans="1:19" ht="11.25" customHeight="1" x14ac:dyDescent="0.2">
      <c r="A194" s="48" t="str">
        <f t="shared" si="13"/>
        <v>2020</v>
      </c>
      <c r="B194" s="48" t="str">
        <f t="shared" si="17"/>
        <v>20 Spr</v>
      </c>
      <c r="C194" s="55" t="s">
        <v>122</v>
      </c>
      <c r="D194" s="56" t="s">
        <v>164</v>
      </c>
      <c r="E194" s="56" t="str">
        <f t="shared" si="14"/>
        <v>HSA 6930
Pro Seminar Hlth Mgt 2020</v>
      </c>
      <c r="F194" s="57" t="s">
        <v>153</v>
      </c>
      <c r="G194" s="58">
        <v>27</v>
      </c>
      <c r="H194" s="59">
        <v>23</v>
      </c>
      <c r="I194" s="60" t="s">
        <v>111</v>
      </c>
      <c r="J194" s="61" t="s">
        <v>90</v>
      </c>
      <c r="K194" s="62">
        <v>0.39100000000000001</v>
      </c>
      <c r="L194" s="62">
        <v>0.217</v>
      </c>
      <c r="M194" s="62">
        <v>0.26100000000000001</v>
      </c>
      <c r="N194" s="62">
        <v>4.2999999999999997E-2</v>
      </c>
      <c r="O194" s="62">
        <v>8.6999999999999994E-2</v>
      </c>
      <c r="P194" s="72">
        <f t="shared" si="15"/>
        <v>3.7789999999999999</v>
      </c>
      <c r="Q194" s="88" t="str" cm="1">
        <f t="array" ref="Q194">_xlfn.IFS(P194&gt;4,"Excelent",AND(P194&gt;3,P194&lt;=4),"Very Good",AND(P194&gt;2,P194&lt;=3),"Good",AND(P194&gt;1,P194&lt;=2),"Fair")</f>
        <v>Very Good</v>
      </c>
      <c r="R194" s="63">
        <f t="shared" si="16"/>
        <v>0.60799999999999998</v>
      </c>
    </row>
    <row r="195" spans="1:19" ht="11.25" customHeight="1" x14ac:dyDescent="0.2">
      <c r="A195" s="48" t="str">
        <f t="shared" ref="A195:A258" si="18">RIGHT(C195,4)</f>
        <v>2020</v>
      </c>
      <c r="B195" s="48" t="str">
        <f t="shared" si="17"/>
        <v>20 Spr</v>
      </c>
      <c r="C195" s="55" t="s">
        <v>122</v>
      </c>
      <c r="D195" s="56" t="s">
        <v>164</v>
      </c>
      <c r="E195" s="56" t="str">
        <f t="shared" ref="E195:E258" si="19">_xlfn.CONCAT(D196, " ", A195)</f>
        <v>HSA 6930
Pro Seminar Hlth Mgt 2020</v>
      </c>
      <c r="F195" s="57" t="s">
        <v>153</v>
      </c>
      <c r="G195" s="58">
        <v>27</v>
      </c>
      <c r="H195" s="59">
        <v>23</v>
      </c>
      <c r="I195" s="60" t="s">
        <v>111</v>
      </c>
      <c r="J195" s="61" t="s">
        <v>91</v>
      </c>
      <c r="K195" s="62">
        <v>0.34799999999999998</v>
      </c>
      <c r="L195" s="62">
        <v>0.30399999999999999</v>
      </c>
      <c r="M195" s="62">
        <v>0.26100000000000001</v>
      </c>
      <c r="N195" s="62">
        <v>4.2999999999999997E-2</v>
      </c>
      <c r="O195" s="62">
        <v>4.2999999999999997E-2</v>
      </c>
      <c r="P195" s="72">
        <f t="shared" ref="P195:P258" si="20">(5*K195)+(4*L195)+(3*M195)+(2*N195)+O195</f>
        <v>3.8679999999999994</v>
      </c>
      <c r="Q195" s="88" t="str" cm="1">
        <f t="array" ref="Q195">_xlfn.IFS(P195&gt;4,"Excelent",AND(P195&gt;3,P195&lt;=4),"Very Good",AND(P195&gt;2,P195&lt;=3),"Good",AND(P195&gt;1,P195&lt;=2),"Fair")</f>
        <v>Very Good</v>
      </c>
      <c r="R195" s="63">
        <f t="shared" ref="R195:R258" si="21">K195+L195</f>
        <v>0.65199999999999991</v>
      </c>
    </row>
    <row r="196" spans="1:19" ht="11.25" customHeight="1" x14ac:dyDescent="0.2">
      <c r="A196" s="48" t="str">
        <f t="shared" si="18"/>
        <v>2020</v>
      </c>
      <c r="B196" s="48" t="str">
        <f t="shared" si="17"/>
        <v>20 Spr</v>
      </c>
      <c r="C196" s="55" t="s">
        <v>122</v>
      </c>
      <c r="D196" s="56" t="s">
        <v>164</v>
      </c>
      <c r="E196" s="56" t="str">
        <f t="shared" si="19"/>
        <v>HSA 6930
Pro Seminar Hlth Mgt 2020</v>
      </c>
      <c r="F196" s="57" t="s">
        <v>153</v>
      </c>
      <c r="G196" s="58">
        <v>27</v>
      </c>
      <c r="H196" s="59">
        <v>23</v>
      </c>
      <c r="I196" s="60" t="s">
        <v>111</v>
      </c>
      <c r="J196" s="61" t="s">
        <v>92</v>
      </c>
      <c r="K196" s="62">
        <v>0.30399999999999999</v>
      </c>
      <c r="L196" s="62">
        <v>0.26100000000000001</v>
      </c>
      <c r="M196" s="62">
        <v>0.17399999999999999</v>
      </c>
      <c r="N196" s="62">
        <v>4.2999999999999997E-2</v>
      </c>
      <c r="O196" s="62">
        <v>0.217</v>
      </c>
      <c r="P196" s="72">
        <f t="shared" si="20"/>
        <v>3.3890000000000002</v>
      </c>
      <c r="Q196" s="88" t="str" cm="1">
        <f t="array" ref="Q196">_xlfn.IFS(P196&gt;4,"Excelent",AND(P196&gt;3,P196&lt;=4),"Very Good",AND(P196&gt;2,P196&lt;=3),"Good",AND(P196&gt;1,P196&lt;=2),"Fair")</f>
        <v>Very Good</v>
      </c>
      <c r="R196" s="63">
        <f t="shared" si="21"/>
        <v>0.56499999999999995</v>
      </c>
    </row>
    <row r="197" spans="1:19" ht="11.25" customHeight="1" x14ac:dyDescent="0.2">
      <c r="A197" s="48" t="str">
        <f t="shared" si="18"/>
        <v>2020</v>
      </c>
      <c r="B197" s="48" t="str">
        <f t="shared" si="17"/>
        <v>20 Spr</v>
      </c>
      <c r="C197" s="55" t="s">
        <v>122</v>
      </c>
      <c r="D197" s="56" t="s">
        <v>164</v>
      </c>
      <c r="E197" s="56" t="str">
        <f t="shared" si="19"/>
        <v>HSA 6930
Pro Seminar Hlth Mgt 2020</v>
      </c>
      <c r="F197" s="57" t="s">
        <v>153</v>
      </c>
      <c r="G197" s="58">
        <v>27</v>
      </c>
      <c r="H197" s="59">
        <v>23</v>
      </c>
      <c r="I197" s="60" t="s">
        <v>111</v>
      </c>
      <c r="J197" s="61" t="s">
        <v>93</v>
      </c>
      <c r="K197" s="62">
        <v>0.30399999999999999</v>
      </c>
      <c r="L197" s="62">
        <v>0.26100000000000001</v>
      </c>
      <c r="M197" s="62">
        <v>0.13</v>
      </c>
      <c r="N197" s="62">
        <v>8.6999999999999994E-2</v>
      </c>
      <c r="O197" s="62">
        <v>0.217</v>
      </c>
      <c r="P197" s="72">
        <f t="shared" si="20"/>
        <v>3.3450000000000002</v>
      </c>
      <c r="Q197" s="88" t="str" cm="1">
        <f t="array" ref="Q197">_xlfn.IFS(P197&gt;4,"Excelent",AND(P197&gt;3,P197&lt;=4),"Very Good",AND(P197&gt;2,P197&lt;=3),"Good",AND(P197&gt;1,P197&lt;=2),"Fair")</f>
        <v>Very Good</v>
      </c>
      <c r="R197" s="63">
        <f t="shared" si="21"/>
        <v>0.56499999999999995</v>
      </c>
    </row>
    <row r="198" spans="1:19" ht="11.25" customHeight="1" x14ac:dyDescent="0.2">
      <c r="A198" s="48" t="str">
        <f t="shared" si="18"/>
        <v>2020</v>
      </c>
      <c r="B198" s="48" t="str">
        <f t="shared" si="17"/>
        <v>20 Spr</v>
      </c>
      <c r="C198" s="55" t="s">
        <v>122</v>
      </c>
      <c r="D198" s="56" t="s">
        <v>164</v>
      </c>
      <c r="E198" s="56" t="str">
        <f t="shared" si="19"/>
        <v>HSA 6930
Pro Seminar Hlth Mgt 2020</v>
      </c>
      <c r="F198" s="57" t="s">
        <v>153</v>
      </c>
      <c r="G198" s="58">
        <v>27</v>
      </c>
      <c r="H198" s="59">
        <v>23</v>
      </c>
      <c r="I198" s="60" t="s">
        <v>111</v>
      </c>
      <c r="J198" s="61" t="s">
        <v>94</v>
      </c>
      <c r="K198" s="62">
        <v>0.26100000000000001</v>
      </c>
      <c r="L198" s="62">
        <v>0.26100000000000001</v>
      </c>
      <c r="M198" s="62">
        <v>0.217</v>
      </c>
      <c r="N198" s="62">
        <v>4.2999999999999997E-2</v>
      </c>
      <c r="O198" s="62">
        <v>0.17399999999999999</v>
      </c>
      <c r="P198" s="72">
        <f t="shared" si="20"/>
        <v>3.26</v>
      </c>
      <c r="Q198" s="88" t="str" cm="1">
        <f t="array" ref="Q198">_xlfn.IFS(P198&gt;4,"Excelent",AND(P198&gt;3,P198&lt;=4),"Very Good",AND(P198&gt;2,P198&lt;=3),"Good",AND(P198&gt;1,P198&lt;=2),"Fair")</f>
        <v>Very Good</v>
      </c>
      <c r="R198" s="63">
        <f t="shared" si="21"/>
        <v>0.52200000000000002</v>
      </c>
    </row>
    <row r="199" spans="1:19" ht="11.25" customHeight="1" x14ac:dyDescent="0.2">
      <c r="A199" s="48" t="str">
        <f t="shared" si="18"/>
        <v>2020</v>
      </c>
      <c r="B199" s="48" t="str">
        <f t="shared" si="17"/>
        <v>20 Spr</v>
      </c>
      <c r="C199" s="55" t="s">
        <v>122</v>
      </c>
      <c r="D199" s="56" t="s">
        <v>164</v>
      </c>
      <c r="E199" s="56" t="str">
        <f t="shared" si="19"/>
        <v>HSA 6930
Pro Seminar Hlth Mgt 2020</v>
      </c>
      <c r="F199" s="57" t="s">
        <v>153</v>
      </c>
      <c r="G199" s="58">
        <v>27</v>
      </c>
      <c r="H199" s="59">
        <v>23</v>
      </c>
      <c r="I199" s="60" t="s">
        <v>111</v>
      </c>
      <c r="J199" s="61" t="s">
        <v>95</v>
      </c>
      <c r="K199" s="62">
        <v>0.30399999999999999</v>
      </c>
      <c r="L199" s="62">
        <v>0.26100000000000001</v>
      </c>
      <c r="M199" s="62">
        <v>0.13</v>
      </c>
      <c r="N199" s="62">
        <v>0.13</v>
      </c>
      <c r="O199" s="62">
        <v>0.17399999999999999</v>
      </c>
      <c r="P199" s="72">
        <f t="shared" si="20"/>
        <v>3.3880000000000003</v>
      </c>
      <c r="Q199" s="88" t="str" cm="1">
        <f t="array" ref="Q199">_xlfn.IFS(P199&gt;4,"Excelent",AND(P199&gt;3,P199&lt;=4),"Very Good",AND(P199&gt;2,P199&lt;=3),"Good",AND(P199&gt;1,P199&lt;=2),"Fair")</f>
        <v>Very Good</v>
      </c>
      <c r="R199" s="63">
        <f t="shared" si="21"/>
        <v>0.56499999999999995</v>
      </c>
    </row>
    <row r="200" spans="1:19" ht="11.25" customHeight="1" x14ac:dyDescent="0.2">
      <c r="A200" s="48" t="str">
        <f t="shared" si="18"/>
        <v>2020</v>
      </c>
      <c r="B200" s="48" t="str">
        <f t="shared" si="17"/>
        <v>20 Spr</v>
      </c>
      <c r="C200" s="55" t="s">
        <v>122</v>
      </c>
      <c r="D200" s="56" t="s">
        <v>164</v>
      </c>
      <c r="E200" s="56" t="str">
        <f t="shared" si="19"/>
        <v>HSA 6930
Pro Seminar Hlth Mgt 2020</v>
      </c>
      <c r="F200" s="57" t="s">
        <v>153</v>
      </c>
      <c r="G200" s="58">
        <v>27</v>
      </c>
      <c r="H200" s="59">
        <v>23</v>
      </c>
      <c r="I200" s="60" t="s">
        <v>111</v>
      </c>
      <c r="J200" s="61" t="s">
        <v>96</v>
      </c>
      <c r="K200" s="62">
        <v>0.34799999999999998</v>
      </c>
      <c r="L200" s="62">
        <v>0.30399999999999999</v>
      </c>
      <c r="M200" s="62">
        <v>0.13</v>
      </c>
      <c r="N200" s="62">
        <v>0.13</v>
      </c>
      <c r="O200" s="62">
        <v>8.6999999999999994E-2</v>
      </c>
      <c r="P200" s="72">
        <f t="shared" si="20"/>
        <v>3.6930000000000001</v>
      </c>
      <c r="Q200" s="88" t="str" cm="1">
        <f t="array" ref="Q200">_xlfn.IFS(P200&gt;4,"Excelent",AND(P200&gt;3,P200&lt;=4),"Very Good",AND(P200&gt;2,P200&lt;=3),"Good",AND(P200&gt;1,P200&lt;=2),"Fair")</f>
        <v>Very Good</v>
      </c>
      <c r="R200" s="63">
        <f t="shared" si="21"/>
        <v>0.65199999999999991</v>
      </c>
    </row>
    <row r="201" spans="1:19" s="75" customFormat="1" ht="11.25" customHeight="1" x14ac:dyDescent="0.25">
      <c r="A201" s="75" t="str">
        <f t="shared" si="18"/>
        <v>2020</v>
      </c>
      <c r="B201" s="75" t="str">
        <f t="shared" si="17"/>
        <v>20 Spr</v>
      </c>
      <c r="C201" s="76" t="s">
        <v>122</v>
      </c>
      <c r="D201" s="76" t="s">
        <v>104</v>
      </c>
      <c r="E201" s="76" t="str">
        <f t="shared" si="19"/>
        <v>HSA 5655
Eth Dec Hlth Admin 2020</v>
      </c>
      <c r="F201" s="77" t="s">
        <v>153</v>
      </c>
      <c r="G201" s="78">
        <v>27</v>
      </c>
      <c r="H201" s="79">
        <v>23</v>
      </c>
      <c r="I201" s="80" t="s">
        <v>111</v>
      </c>
      <c r="J201" s="81" t="s">
        <v>97</v>
      </c>
      <c r="K201" s="82">
        <v>0.30399999999999999</v>
      </c>
      <c r="L201" s="82">
        <v>0.26100000000000001</v>
      </c>
      <c r="M201" s="82">
        <v>0.217</v>
      </c>
      <c r="N201" s="82">
        <v>0.13</v>
      </c>
      <c r="O201" s="82">
        <v>8.6999999999999994E-2</v>
      </c>
      <c r="P201" s="83">
        <f t="shared" si="20"/>
        <v>3.5619999999999998</v>
      </c>
      <c r="Q201" s="88" t="str" cm="1">
        <f t="array" ref="Q201">_xlfn.IFS(P201&gt;4,"Excelent",AND(P201&gt;3,P201&lt;=4),"Very Good",AND(P201&gt;2,P201&lt;=3),"Good",AND(P201&gt;1,P201&lt;=2),"Fair")</f>
        <v>Very Good</v>
      </c>
      <c r="R201" s="84">
        <f t="shared" si="21"/>
        <v>0.56499999999999995</v>
      </c>
      <c r="S201" s="75">
        <f>AVERAGE(P162:P201)</f>
        <v>3.411</v>
      </c>
    </row>
    <row r="202" spans="1:19" ht="11.25" customHeight="1" x14ac:dyDescent="0.2">
      <c r="A202" s="48" t="str">
        <f t="shared" si="18"/>
        <v>2019</v>
      </c>
      <c r="B202" s="48" t="str">
        <f t="shared" si="17"/>
        <v>19 Fal</v>
      </c>
      <c r="C202" s="55" t="s">
        <v>115</v>
      </c>
      <c r="D202" s="56" t="s">
        <v>166</v>
      </c>
      <c r="E202" s="56" t="str">
        <f t="shared" si="19"/>
        <v>HSA 5655
Eth Dec Hlth Admin 2019</v>
      </c>
      <c r="F202" s="57" t="s">
        <v>121</v>
      </c>
      <c r="G202" s="58">
        <v>23</v>
      </c>
      <c r="H202" s="59">
        <v>7</v>
      </c>
      <c r="I202" s="60" t="s">
        <v>111</v>
      </c>
      <c r="J202" s="61" t="s">
        <v>90</v>
      </c>
      <c r="K202" s="62">
        <v>0.71399999999999997</v>
      </c>
      <c r="L202" s="62">
        <v>0.14299999999999999</v>
      </c>
      <c r="M202" s="62">
        <v>0.14299999999999999</v>
      </c>
      <c r="N202" s="62">
        <v>0</v>
      </c>
      <c r="O202" s="62">
        <v>0</v>
      </c>
      <c r="P202" s="72">
        <f t="shared" si="20"/>
        <v>4.5709999999999997</v>
      </c>
      <c r="Q202" s="88" t="str" cm="1">
        <f t="array" ref="Q202">_xlfn.IFS(P202&gt;4,"Excelent",AND(P202&gt;3,P202&lt;=4),"Very Good",AND(P202&gt;2,P202&lt;=3),"Good",AND(P202&gt;1,P202&lt;=2),"Fair")</f>
        <v>Excelent</v>
      </c>
      <c r="R202" s="63">
        <f t="shared" si="21"/>
        <v>0.85699999999999998</v>
      </c>
    </row>
    <row r="203" spans="1:19" ht="11.25" customHeight="1" x14ac:dyDescent="0.2">
      <c r="A203" s="48" t="str">
        <f t="shared" si="18"/>
        <v>2019</v>
      </c>
      <c r="B203" s="48" t="str">
        <f t="shared" si="17"/>
        <v>19 Fal</v>
      </c>
      <c r="C203" s="55" t="s">
        <v>115</v>
      </c>
      <c r="D203" s="56" t="s">
        <v>166</v>
      </c>
      <c r="E203" s="56" t="str">
        <f t="shared" si="19"/>
        <v>HSA 5655
Eth Dec Hlth Admin 2019</v>
      </c>
      <c r="F203" s="57" t="s">
        <v>121</v>
      </c>
      <c r="G203" s="58">
        <v>23</v>
      </c>
      <c r="H203" s="59">
        <v>7</v>
      </c>
      <c r="I203" s="60" t="s">
        <v>111</v>
      </c>
      <c r="J203" s="61" t="s">
        <v>91</v>
      </c>
      <c r="K203" s="62">
        <v>0.71399999999999997</v>
      </c>
      <c r="L203" s="62">
        <v>0.14299999999999999</v>
      </c>
      <c r="M203" s="62">
        <v>0.14299999999999999</v>
      </c>
      <c r="N203" s="62">
        <v>0</v>
      </c>
      <c r="O203" s="62">
        <v>0</v>
      </c>
      <c r="P203" s="72">
        <f t="shared" si="20"/>
        <v>4.5709999999999997</v>
      </c>
      <c r="Q203" s="88" t="str" cm="1">
        <f t="array" ref="Q203">_xlfn.IFS(P203&gt;4,"Excelent",AND(P203&gt;3,P203&lt;=4),"Very Good",AND(P203&gt;2,P203&lt;=3),"Good",AND(P203&gt;1,P203&lt;=2),"Fair")</f>
        <v>Excelent</v>
      </c>
      <c r="R203" s="63">
        <f t="shared" si="21"/>
        <v>0.85699999999999998</v>
      </c>
    </row>
    <row r="204" spans="1:19" ht="11.25" customHeight="1" x14ac:dyDescent="0.2">
      <c r="A204" s="48" t="str">
        <f t="shared" si="18"/>
        <v>2019</v>
      </c>
      <c r="B204" s="48" t="str">
        <f t="shared" si="17"/>
        <v>19 Fal</v>
      </c>
      <c r="C204" s="55" t="s">
        <v>115</v>
      </c>
      <c r="D204" s="56" t="s">
        <v>166</v>
      </c>
      <c r="E204" s="56" t="str">
        <f t="shared" si="19"/>
        <v>HSA 5655
Eth Dec Hlth Admin 2019</v>
      </c>
      <c r="F204" s="57" t="s">
        <v>121</v>
      </c>
      <c r="G204" s="58">
        <v>23</v>
      </c>
      <c r="H204" s="59">
        <v>7</v>
      </c>
      <c r="I204" s="60" t="s">
        <v>111</v>
      </c>
      <c r="J204" s="61" t="s">
        <v>92</v>
      </c>
      <c r="K204" s="62">
        <v>0.57099999999999995</v>
      </c>
      <c r="L204" s="62">
        <v>0.28599999999999998</v>
      </c>
      <c r="M204" s="62">
        <v>0.14299999999999999</v>
      </c>
      <c r="N204" s="62">
        <v>0</v>
      </c>
      <c r="O204" s="62">
        <v>0</v>
      </c>
      <c r="P204" s="72">
        <f t="shared" si="20"/>
        <v>4.4279999999999999</v>
      </c>
      <c r="Q204" s="88" t="str" cm="1">
        <f t="array" ref="Q204">_xlfn.IFS(P204&gt;4,"Excelent",AND(P204&gt;3,P204&lt;=4),"Very Good",AND(P204&gt;2,P204&lt;=3),"Good",AND(P204&gt;1,P204&lt;=2),"Fair")</f>
        <v>Excelent</v>
      </c>
      <c r="R204" s="63">
        <f t="shared" si="21"/>
        <v>0.85699999999999998</v>
      </c>
    </row>
    <row r="205" spans="1:19" ht="11.25" customHeight="1" x14ac:dyDescent="0.2">
      <c r="A205" s="48" t="str">
        <f t="shared" si="18"/>
        <v>2019</v>
      </c>
      <c r="B205" s="48" t="str">
        <f t="shared" si="17"/>
        <v>19 Fal</v>
      </c>
      <c r="C205" s="55" t="s">
        <v>115</v>
      </c>
      <c r="D205" s="56" t="s">
        <v>166</v>
      </c>
      <c r="E205" s="56" t="str">
        <f t="shared" si="19"/>
        <v>HSA 5655
Eth Dec Hlth Admin 2019</v>
      </c>
      <c r="F205" s="57" t="s">
        <v>121</v>
      </c>
      <c r="G205" s="58">
        <v>23</v>
      </c>
      <c r="H205" s="59">
        <v>7</v>
      </c>
      <c r="I205" s="60" t="s">
        <v>111</v>
      </c>
      <c r="J205" s="61" t="s">
        <v>93</v>
      </c>
      <c r="K205" s="62">
        <v>0.57099999999999995</v>
      </c>
      <c r="L205" s="62">
        <v>0.28599999999999998</v>
      </c>
      <c r="M205" s="62">
        <v>0.14299999999999999</v>
      </c>
      <c r="N205" s="62">
        <v>0</v>
      </c>
      <c r="O205" s="62">
        <v>0</v>
      </c>
      <c r="P205" s="72">
        <f t="shared" si="20"/>
        <v>4.4279999999999999</v>
      </c>
      <c r="Q205" s="88" t="str" cm="1">
        <f t="array" ref="Q205">_xlfn.IFS(P205&gt;4,"Excelent",AND(P205&gt;3,P205&lt;=4),"Very Good",AND(P205&gt;2,P205&lt;=3),"Good",AND(P205&gt;1,P205&lt;=2),"Fair")</f>
        <v>Excelent</v>
      </c>
      <c r="R205" s="63">
        <f t="shared" si="21"/>
        <v>0.85699999999999998</v>
      </c>
    </row>
    <row r="206" spans="1:19" ht="11.25" customHeight="1" x14ac:dyDescent="0.2">
      <c r="A206" s="48" t="str">
        <f t="shared" si="18"/>
        <v>2019</v>
      </c>
      <c r="B206" s="48" t="str">
        <f t="shared" si="17"/>
        <v>19 Fal</v>
      </c>
      <c r="C206" s="55" t="s">
        <v>115</v>
      </c>
      <c r="D206" s="56" t="s">
        <v>166</v>
      </c>
      <c r="E206" s="56" t="str">
        <f t="shared" si="19"/>
        <v>HSA 5655
Eth Dec Hlth Admin 2019</v>
      </c>
      <c r="F206" s="57" t="s">
        <v>121</v>
      </c>
      <c r="G206" s="58">
        <v>23</v>
      </c>
      <c r="H206" s="59">
        <v>7</v>
      </c>
      <c r="I206" s="60" t="s">
        <v>111</v>
      </c>
      <c r="J206" s="61" t="s">
        <v>94</v>
      </c>
      <c r="K206" s="62">
        <v>0.42899999999999999</v>
      </c>
      <c r="L206" s="62">
        <v>0.28599999999999998</v>
      </c>
      <c r="M206" s="62">
        <v>0.28599999999999998</v>
      </c>
      <c r="N206" s="62">
        <v>0</v>
      </c>
      <c r="O206" s="62">
        <v>0</v>
      </c>
      <c r="P206" s="72">
        <f t="shared" si="20"/>
        <v>4.1469999999999994</v>
      </c>
      <c r="Q206" s="88" t="str" cm="1">
        <f t="array" ref="Q206">_xlfn.IFS(P206&gt;4,"Excelent",AND(P206&gt;3,P206&lt;=4),"Very Good",AND(P206&gt;2,P206&lt;=3),"Good",AND(P206&gt;1,P206&lt;=2),"Fair")</f>
        <v>Excelent</v>
      </c>
      <c r="R206" s="63">
        <f t="shared" si="21"/>
        <v>0.71499999999999997</v>
      </c>
    </row>
    <row r="207" spans="1:19" ht="11.25" customHeight="1" x14ac:dyDescent="0.2">
      <c r="A207" s="48" t="str">
        <f t="shared" si="18"/>
        <v>2019</v>
      </c>
      <c r="B207" s="48" t="str">
        <f t="shared" si="17"/>
        <v>19 Fal</v>
      </c>
      <c r="C207" s="55" t="s">
        <v>115</v>
      </c>
      <c r="D207" s="56" t="s">
        <v>166</v>
      </c>
      <c r="E207" s="56" t="str">
        <f t="shared" si="19"/>
        <v>HSA 5655
Eth Dec Hlth Admin 2019</v>
      </c>
      <c r="F207" s="57" t="s">
        <v>121</v>
      </c>
      <c r="G207" s="58">
        <v>23</v>
      </c>
      <c r="H207" s="59">
        <v>7</v>
      </c>
      <c r="I207" s="60" t="s">
        <v>111</v>
      </c>
      <c r="J207" s="61" t="s">
        <v>95</v>
      </c>
      <c r="K207" s="62">
        <v>0.57099999999999995</v>
      </c>
      <c r="L207" s="62">
        <v>0.14299999999999999</v>
      </c>
      <c r="M207" s="62">
        <v>0.28599999999999998</v>
      </c>
      <c r="N207" s="62">
        <v>0</v>
      </c>
      <c r="O207" s="62">
        <v>0</v>
      </c>
      <c r="P207" s="72">
        <f t="shared" si="20"/>
        <v>4.2849999999999993</v>
      </c>
      <c r="Q207" s="88" t="str" cm="1">
        <f t="array" ref="Q207">_xlfn.IFS(P207&gt;4,"Excelent",AND(P207&gt;3,P207&lt;=4),"Very Good",AND(P207&gt;2,P207&lt;=3),"Good",AND(P207&gt;1,P207&lt;=2),"Fair")</f>
        <v>Excelent</v>
      </c>
      <c r="R207" s="63">
        <f t="shared" si="21"/>
        <v>0.71399999999999997</v>
      </c>
    </row>
    <row r="208" spans="1:19" ht="11.25" customHeight="1" x14ac:dyDescent="0.2">
      <c r="A208" s="48" t="str">
        <f t="shared" si="18"/>
        <v>2019</v>
      </c>
      <c r="B208" s="48" t="str">
        <f t="shared" si="17"/>
        <v>19 Fal</v>
      </c>
      <c r="C208" s="55" t="s">
        <v>115</v>
      </c>
      <c r="D208" s="56" t="s">
        <v>166</v>
      </c>
      <c r="E208" s="56" t="str">
        <f t="shared" si="19"/>
        <v>HSA 5655
Eth Dec Hlth Admin 2019</v>
      </c>
      <c r="F208" s="57" t="s">
        <v>121</v>
      </c>
      <c r="G208" s="58">
        <v>23</v>
      </c>
      <c r="H208" s="59">
        <v>7</v>
      </c>
      <c r="I208" s="60" t="s">
        <v>111</v>
      </c>
      <c r="J208" s="61" t="s">
        <v>96</v>
      </c>
      <c r="K208" s="62">
        <v>0.71399999999999997</v>
      </c>
      <c r="L208" s="62">
        <v>0.14299999999999999</v>
      </c>
      <c r="M208" s="62">
        <v>0.14299999999999999</v>
      </c>
      <c r="N208" s="62">
        <v>0</v>
      </c>
      <c r="O208" s="62">
        <v>0</v>
      </c>
      <c r="P208" s="72">
        <f t="shared" si="20"/>
        <v>4.5709999999999997</v>
      </c>
      <c r="Q208" s="88" t="str" cm="1">
        <f t="array" ref="Q208">_xlfn.IFS(P208&gt;4,"Excelent",AND(P208&gt;3,P208&lt;=4),"Very Good",AND(P208&gt;2,P208&lt;=3),"Good",AND(P208&gt;1,P208&lt;=2),"Fair")</f>
        <v>Excelent</v>
      </c>
      <c r="R208" s="63">
        <f t="shared" si="21"/>
        <v>0.85699999999999998</v>
      </c>
    </row>
    <row r="209" spans="1:19" s="75" customFormat="1" ht="11.25" customHeight="1" x14ac:dyDescent="0.25">
      <c r="A209" s="75" t="str">
        <f t="shared" si="18"/>
        <v>2019</v>
      </c>
      <c r="B209" s="75" t="str">
        <f t="shared" si="17"/>
        <v>19 Fal</v>
      </c>
      <c r="C209" s="76" t="s">
        <v>115</v>
      </c>
      <c r="D209" s="76" t="s">
        <v>173</v>
      </c>
      <c r="E209" s="76" t="str">
        <f t="shared" si="19"/>
        <v>HSA 6717
Adv Hlth Mgt Res Sem 2019</v>
      </c>
      <c r="F209" s="77" t="s">
        <v>121</v>
      </c>
      <c r="G209" s="78">
        <v>23</v>
      </c>
      <c r="H209" s="79">
        <v>7</v>
      </c>
      <c r="I209" s="80" t="s">
        <v>111</v>
      </c>
      <c r="J209" s="81" t="s">
        <v>97</v>
      </c>
      <c r="K209" s="82">
        <v>0.57099999999999995</v>
      </c>
      <c r="L209" s="82">
        <v>0.14299999999999999</v>
      </c>
      <c r="M209" s="82">
        <v>0.28599999999999998</v>
      </c>
      <c r="N209" s="82">
        <v>0</v>
      </c>
      <c r="O209" s="82">
        <v>0</v>
      </c>
      <c r="P209" s="83">
        <f t="shared" si="20"/>
        <v>4.2849999999999993</v>
      </c>
      <c r="Q209" s="88" t="str" cm="1">
        <f t="array" ref="Q209">_xlfn.IFS(P209&gt;4,"Excelent",AND(P209&gt;3,P209&lt;=4),"Very Good",AND(P209&gt;2,P209&lt;=3),"Good",AND(P209&gt;1,P209&lt;=2),"Fair")</f>
        <v>Excelent</v>
      </c>
      <c r="R209" s="84">
        <f t="shared" si="21"/>
        <v>0.71399999999999997</v>
      </c>
      <c r="S209" s="75">
        <f t="shared" ref="S209" si="22">AVERAGE(P202:P209)</f>
        <v>4.4107499999999993</v>
      </c>
    </row>
    <row r="210" spans="1:19" ht="11.25" customHeight="1" x14ac:dyDescent="0.2">
      <c r="A210" s="48" t="str">
        <f t="shared" si="18"/>
        <v>2019</v>
      </c>
      <c r="B210" s="48" t="str">
        <f t="shared" si="17"/>
        <v>19 Sum</v>
      </c>
      <c r="C210" s="55" t="s">
        <v>154</v>
      </c>
      <c r="D210" s="56" t="s">
        <v>163</v>
      </c>
      <c r="E210" s="56" t="str">
        <f t="shared" si="19"/>
        <v>HSA 6717
Adv Hlth Mgt Res Sem 2019</v>
      </c>
      <c r="F210" s="57" t="s">
        <v>155</v>
      </c>
      <c r="G210" s="58">
        <v>18</v>
      </c>
      <c r="H210" s="59">
        <v>10</v>
      </c>
      <c r="I210" s="60" t="s">
        <v>109</v>
      </c>
      <c r="J210" s="61" t="s">
        <v>90</v>
      </c>
      <c r="K210" s="62">
        <v>0.1</v>
      </c>
      <c r="L210" s="62">
        <v>0.3</v>
      </c>
      <c r="M210" s="62">
        <v>0.3</v>
      </c>
      <c r="N210" s="62">
        <v>0.1</v>
      </c>
      <c r="O210" s="62">
        <v>0.2</v>
      </c>
      <c r="P210" s="72">
        <f t="shared" si="20"/>
        <v>3</v>
      </c>
      <c r="Q210" s="88" t="str" cm="1">
        <f t="array" ref="Q210">_xlfn.IFS(P210&gt;4,"Excelent",AND(P210&gt;3,P210&lt;=4),"Very Good",AND(P210&gt;2,P210&lt;=3),"Good",AND(P210&gt;1,P210&lt;=2),"Fair")</f>
        <v>Good</v>
      </c>
      <c r="R210" s="63">
        <f t="shared" si="21"/>
        <v>0.4</v>
      </c>
    </row>
    <row r="211" spans="1:19" ht="11.25" customHeight="1" x14ac:dyDescent="0.2">
      <c r="A211" s="48" t="str">
        <f t="shared" si="18"/>
        <v>2019</v>
      </c>
      <c r="B211" s="48" t="str">
        <f t="shared" si="17"/>
        <v>19 Sum</v>
      </c>
      <c r="C211" s="55" t="s">
        <v>154</v>
      </c>
      <c r="D211" s="56" t="s">
        <v>163</v>
      </c>
      <c r="E211" s="56" t="str">
        <f t="shared" si="19"/>
        <v>HSA 6717
Adv Hlth Mgt Res Sem 2019</v>
      </c>
      <c r="F211" s="57" t="s">
        <v>155</v>
      </c>
      <c r="G211" s="58">
        <v>18</v>
      </c>
      <c r="H211" s="59">
        <v>10</v>
      </c>
      <c r="I211" s="60" t="s">
        <v>109</v>
      </c>
      <c r="J211" s="61" t="s">
        <v>91</v>
      </c>
      <c r="K211" s="62">
        <v>0.3</v>
      </c>
      <c r="L211" s="62">
        <v>0.2</v>
      </c>
      <c r="M211" s="62">
        <v>0.4</v>
      </c>
      <c r="N211" s="62">
        <v>0</v>
      </c>
      <c r="O211" s="62">
        <v>0.1</v>
      </c>
      <c r="P211" s="72">
        <f t="shared" si="20"/>
        <v>3.6</v>
      </c>
      <c r="Q211" s="88" t="str" cm="1">
        <f t="array" ref="Q211">_xlfn.IFS(P211&gt;4,"Excelent",AND(P211&gt;3,P211&lt;=4),"Very Good",AND(P211&gt;2,P211&lt;=3),"Good",AND(P211&gt;1,P211&lt;=2),"Fair")</f>
        <v>Very Good</v>
      </c>
      <c r="R211" s="63">
        <f t="shared" si="21"/>
        <v>0.5</v>
      </c>
    </row>
    <row r="212" spans="1:19" ht="11.25" customHeight="1" x14ac:dyDescent="0.2">
      <c r="A212" s="48" t="str">
        <f t="shared" si="18"/>
        <v>2019</v>
      </c>
      <c r="B212" s="48" t="str">
        <f t="shared" si="17"/>
        <v>19 Sum</v>
      </c>
      <c r="C212" s="55" t="s">
        <v>154</v>
      </c>
      <c r="D212" s="56" t="s">
        <v>163</v>
      </c>
      <c r="E212" s="56" t="str">
        <f t="shared" si="19"/>
        <v>HSA 6717
Adv Hlth Mgt Res Sem 2019</v>
      </c>
      <c r="F212" s="57" t="s">
        <v>155</v>
      </c>
      <c r="G212" s="58">
        <v>18</v>
      </c>
      <c r="H212" s="59">
        <v>10</v>
      </c>
      <c r="I212" s="60" t="s">
        <v>109</v>
      </c>
      <c r="J212" s="61" t="s">
        <v>92</v>
      </c>
      <c r="K212" s="62">
        <v>0.1</v>
      </c>
      <c r="L212" s="62">
        <v>0.1</v>
      </c>
      <c r="M212" s="62">
        <v>0.3</v>
      </c>
      <c r="N212" s="62">
        <v>0.3</v>
      </c>
      <c r="O212" s="62">
        <v>0.2</v>
      </c>
      <c r="P212" s="72">
        <f t="shared" si="20"/>
        <v>2.6</v>
      </c>
      <c r="Q212" s="88" t="str" cm="1">
        <f t="array" ref="Q212">_xlfn.IFS(P212&gt;4,"Excelent",AND(P212&gt;3,P212&lt;=4),"Very Good",AND(P212&gt;2,P212&lt;=3),"Good",AND(P212&gt;1,P212&lt;=2),"Fair")</f>
        <v>Good</v>
      </c>
      <c r="R212" s="63">
        <f t="shared" si="21"/>
        <v>0.2</v>
      </c>
    </row>
    <row r="213" spans="1:19" ht="11.25" customHeight="1" x14ac:dyDescent="0.2">
      <c r="A213" s="48" t="str">
        <f t="shared" si="18"/>
        <v>2019</v>
      </c>
      <c r="B213" s="48" t="str">
        <f t="shared" ref="B213:B276" si="23">_xlfn.CONCAT(RIGHT(C213,2)," ",LEFT(C213,3))</f>
        <v>19 Sum</v>
      </c>
      <c r="C213" s="55" t="s">
        <v>154</v>
      </c>
      <c r="D213" s="56" t="s">
        <v>163</v>
      </c>
      <c r="E213" s="56" t="str">
        <f t="shared" si="19"/>
        <v>HSA 6717
Adv Hlth Mgt Res Sem 2019</v>
      </c>
      <c r="F213" s="57" t="s">
        <v>155</v>
      </c>
      <c r="G213" s="58">
        <v>18</v>
      </c>
      <c r="H213" s="59">
        <v>10</v>
      </c>
      <c r="I213" s="60" t="s">
        <v>109</v>
      </c>
      <c r="J213" s="61" t="s">
        <v>93</v>
      </c>
      <c r="K213" s="62">
        <v>0.1</v>
      </c>
      <c r="L213" s="62">
        <v>0.2</v>
      </c>
      <c r="M213" s="62">
        <v>0.6</v>
      </c>
      <c r="N213" s="62">
        <v>0.1</v>
      </c>
      <c r="O213" s="62">
        <v>0</v>
      </c>
      <c r="P213" s="72">
        <f t="shared" si="20"/>
        <v>3.3</v>
      </c>
      <c r="Q213" s="88" t="str" cm="1">
        <f t="array" ref="Q213">_xlfn.IFS(P213&gt;4,"Excelent",AND(P213&gt;3,P213&lt;=4),"Very Good",AND(P213&gt;2,P213&lt;=3),"Good",AND(P213&gt;1,P213&lt;=2),"Fair")</f>
        <v>Very Good</v>
      </c>
      <c r="R213" s="63">
        <f t="shared" si="21"/>
        <v>0.30000000000000004</v>
      </c>
    </row>
    <row r="214" spans="1:19" ht="11.25" customHeight="1" x14ac:dyDescent="0.2">
      <c r="A214" s="48" t="str">
        <f t="shared" si="18"/>
        <v>2019</v>
      </c>
      <c r="B214" s="48" t="str">
        <f t="shared" si="23"/>
        <v>19 Sum</v>
      </c>
      <c r="C214" s="55" t="s">
        <v>154</v>
      </c>
      <c r="D214" s="56" t="s">
        <v>163</v>
      </c>
      <c r="E214" s="56" t="str">
        <f t="shared" si="19"/>
        <v>HSA 6717
Adv Hlth Mgt Res Sem 2019</v>
      </c>
      <c r="F214" s="57" t="s">
        <v>155</v>
      </c>
      <c r="G214" s="58">
        <v>18</v>
      </c>
      <c r="H214" s="59">
        <v>10</v>
      </c>
      <c r="I214" s="60" t="s">
        <v>109</v>
      </c>
      <c r="J214" s="61" t="s">
        <v>94</v>
      </c>
      <c r="K214" s="62">
        <v>0.2</v>
      </c>
      <c r="L214" s="62">
        <v>0.2</v>
      </c>
      <c r="M214" s="62">
        <v>0.4</v>
      </c>
      <c r="N214" s="62">
        <v>0</v>
      </c>
      <c r="O214" s="62">
        <v>0.2</v>
      </c>
      <c r="P214" s="72">
        <f t="shared" si="20"/>
        <v>3.2</v>
      </c>
      <c r="Q214" s="88" t="str" cm="1">
        <f t="array" ref="Q214">_xlfn.IFS(P214&gt;4,"Excelent",AND(P214&gt;3,P214&lt;=4),"Very Good",AND(P214&gt;2,P214&lt;=3),"Good",AND(P214&gt;1,P214&lt;=2),"Fair")</f>
        <v>Very Good</v>
      </c>
      <c r="R214" s="63">
        <f t="shared" si="21"/>
        <v>0.4</v>
      </c>
    </row>
    <row r="215" spans="1:19" ht="11.25" customHeight="1" x14ac:dyDescent="0.2">
      <c r="A215" s="48" t="str">
        <f t="shared" si="18"/>
        <v>2019</v>
      </c>
      <c r="B215" s="48" t="str">
        <f t="shared" si="23"/>
        <v>19 Sum</v>
      </c>
      <c r="C215" s="55" t="s">
        <v>154</v>
      </c>
      <c r="D215" s="56" t="s">
        <v>163</v>
      </c>
      <c r="E215" s="56" t="str">
        <f t="shared" si="19"/>
        <v>HSA 6717
Adv Hlth Mgt Res Sem 2019</v>
      </c>
      <c r="F215" s="57" t="s">
        <v>155</v>
      </c>
      <c r="G215" s="58">
        <v>18</v>
      </c>
      <c r="H215" s="59">
        <v>10</v>
      </c>
      <c r="I215" s="60" t="s">
        <v>109</v>
      </c>
      <c r="J215" s="61" t="s">
        <v>95</v>
      </c>
      <c r="K215" s="62">
        <v>0.2</v>
      </c>
      <c r="L215" s="62">
        <v>0.2</v>
      </c>
      <c r="M215" s="62">
        <v>0</v>
      </c>
      <c r="N215" s="62">
        <v>0.6</v>
      </c>
      <c r="O215" s="62">
        <v>0</v>
      </c>
      <c r="P215" s="72">
        <f t="shared" si="20"/>
        <v>3</v>
      </c>
      <c r="Q215" s="88" t="str" cm="1">
        <f t="array" ref="Q215">_xlfn.IFS(P215&gt;4,"Excelent",AND(P215&gt;3,P215&lt;=4),"Very Good",AND(P215&gt;2,P215&lt;=3),"Good",AND(P215&gt;1,P215&lt;=2),"Fair")</f>
        <v>Good</v>
      </c>
      <c r="R215" s="63">
        <f t="shared" si="21"/>
        <v>0.4</v>
      </c>
    </row>
    <row r="216" spans="1:19" ht="11.25" customHeight="1" x14ac:dyDescent="0.2">
      <c r="A216" s="48" t="str">
        <f t="shared" si="18"/>
        <v>2019</v>
      </c>
      <c r="B216" s="48" t="str">
        <f t="shared" si="23"/>
        <v>19 Sum</v>
      </c>
      <c r="C216" s="55" t="s">
        <v>154</v>
      </c>
      <c r="D216" s="56" t="s">
        <v>163</v>
      </c>
      <c r="E216" s="56" t="str">
        <f t="shared" si="19"/>
        <v>HSA 6717
Adv Hlth Mgt Res Sem 2019</v>
      </c>
      <c r="F216" s="57" t="s">
        <v>155</v>
      </c>
      <c r="G216" s="58">
        <v>18</v>
      </c>
      <c r="H216" s="59">
        <v>10</v>
      </c>
      <c r="I216" s="60" t="s">
        <v>109</v>
      </c>
      <c r="J216" s="61" t="s">
        <v>96</v>
      </c>
      <c r="K216" s="62">
        <v>0.2</v>
      </c>
      <c r="L216" s="62">
        <v>0.2</v>
      </c>
      <c r="M216" s="62">
        <v>0.3</v>
      </c>
      <c r="N216" s="62">
        <v>0.1</v>
      </c>
      <c r="O216" s="62">
        <v>0.2</v>
      </c>
      <c r="P216" s="72">
        <f t="shared" si="20"/>
        <v>3.1000000000000005</v>
      </c>
      <c r="Q216" s="88" t="str" cm="1">
        <f t="array" ref="Q216">_xlfn.IFS(P216&gt;4,"Excelent",AND(P216&gt;3,P216&lt;=4),"Very Good",AND(P216&gt;2,P216&lt;=3),"Good",AND(P216&gt;1,P216&lt;=2),"Fair")</f>
        <v>Very Good</v>
      </c>
      <c r="R216" s="63">
        <f t="shared" si="21"/>
        <v>0.4</v>
      </c>
    </row>
    <row r="217" spans="1:19" ht="11.25" customHeight="1" x14ac:dyDescent="0.2">
      <c r="A217" s="48" t="str">
        <f t="shared" si="18"/>
        <v>2019</v>
      </c>
      <c r="B217" s="48" t="str">
        <f t="shared" si="23"/>
        <v>19 Sum</v>
      </c>
      <c r="C217" s="55" t="s">
        <v>154</v>
      </c>
      <c r="D217" s="56" t="s">
        <v>163</v>
      </c>
      <c r="E217" s="56" t="str">
        <f t="shared" si="19"/>
        <v>HSA 6717
Adv Hlth Mgt Res Sem 2019</v>
      </c>
      <c r="F217" s="57" t="s">
        <v>155</v>
      </c>
      <c r="G217" s="58">
        <v>18</v>
      </c>
      <c r="H217" s="59">
        <v>10</v>
      </c>
      <c r="I217" s="60" t="s">
        <v>109</v>
      </c>
      <c r="J217" s="61" t="s">
        <v>97</v>
      </c>
      <c r="K217" s="65">
        <v>0.1</v>
      </c>
      <c r="L217" s="65">
        <v>0.2</v>
      </c>
      <c r="M217" s="65">
        <v>0.2</v>
      </c>
      <c r="N217" s="65">
        <v>0.2</v>
      </c>
      <c r="O217" s="65">
        <v>0.2</v>
      </c>
      <c r="P217" s="72">
        <f t="shared" si="20"/>
        <v>2.5000000000000004</v>
      </c>
      <c r="Q217" s="88" t="str" cm="1">
        <f t="array" ref="Q217">_xlfn.IFS(P217&gt;4,"Excelent",AND(P217&gt;3,P217&lt;=4),"Very Good",AND(P217&gt;2,P217&lt;=3),"Good",AND(P217&gt;1,P217&lt;=2),"Fair")</f>
        <v>Good</v>
      </c>
      <c r="R217" s="63">
        <f t="shared" si="21"/>
        <v>0.30000000000000004</v>
      </c>
    </row>
    <row r="218" spans="1:19" ht="11.25" customHeight="1" x14ac:dyDescent="0.2">
      <c r="A218" s="48" t="str">
        <f t="shared" si="18"/>
        <v>2019</v>
      </c>
      <c r="B218" s="48" t="str">
        <f t="shared" si="23"/>
        <v>19 Sum</v>
      </c>
      <c r="C218" s="55" t="s">
        <v>154</v>
      </c>
      <c r="D218" s="56" t="s">
        <v>163</v>
      </c>
      <c r="E218" s="56" t="str">
        <f t="shared" si="19"/>
        <v>HSA 6717
Adv Hlth Mgt Res Sem 2019</v>
      </c>
      <c r="F218" s="57" t="s">
        <v>156</v>
      </c>
      <c r="G218" s="58">
        <v>19</v>
      </c>
      <c r="H218" s="59">
        <v>9</v>
      </c>
      <c r="I218" s="60" t="s">
        <v>111</v>
      </c>
      <c r="J218" s="61" t="s">
        <v>90</v>
      </c>
      <c r="K218" s="62">
        <v>0.111</v>
      </c>
      <c r="L218" s="62">
        <v>0.33300000000000002</v>
      </c>
      <c r="M218" s="62">
        <v>0.111</v>
      </c>
      <c r="N218" s="62">
        <v>0.111</v>
      </c>
      <c r="O218" s="62">
        <v>0.33300000000000002</v>
      </c>
      <c r="P218" s="72">
        <f t="shared" si="20"/>
        <v>2.7750000000000004</v>
      </c>
      <c r="Q218" s="88" t="str" cm="1">
        <f t="array" ref="Q218">_xlfn.IFS(P218&gt;4,"Excelent",AND(P218&gt;3,P218&lt;=4),"Very Good",AND(P218&gt;2,P218&lt;=3),"Good",AND(P218&gt;1,P218&lt;=2),"Fair")</f>
        <v>Good</v>
      </c>
      <c r="R218" s="63">
        <f t="shared" si="21"/>
        <v>0.44400000000000001</v>
      </c>
    </row>
    <row r="219" spans="1:19" ht="11.25" customHeight="1" x14ac:dyDescent="0.2">
      <c r="A219" s="48" t="str">
        <f t="shared" si="18"/>
        <v>2019</v>
      </c>
      <c r="B219" s="48" t="str">
        <f t="shared" si="23"/>
        <v>19 Sum</v>
      </c>
      <c r="C219" s="55" t="s">
        <v>154</v>
      </c>
      <c r="D219" s="56" t="s">
        <v>163</v>
      </c>
      <c r="E219" s="56" t="str">
        <f t="shared" si="19"/>
        <v>HSA 6717
Adv Hlth Mgt Res Sem 2019</v>
      </c>
      <c r="F219" s="57" t="s">
        <v>156</v>
      </c>
      <c r="G219" s="58">
        <v>19</v>
      </c>
      <c r="H219" s="59">
        <v>9</v>
      </c>
      <c r="I219" s="60" t="s">
        <v>111</v>
      </c>
      <c r="J219" s="61" t="s">
        <v>91</v>
      </c>
      <c r="K219" s="62">
        <v>0.222</v>
      </c>
      <c r="L219" s="62">
        <v>0.33300000000000002</v>
      </c>
      <c r="M219" s="62">
        <v>0</v>
      </c>
      <c r="N219" s="62">
        <v>0.111</v>
      </c>
      <c r="O219" s="62">
        <v>0.33300000000000002</v>
      </c>
      <c r="P219" s="72">
        <f t="shared" si="20"/>
        <v>2.9970000000000003</v>
      </c>
      <c r="Q219" s="88" t="str" cm="1">
        <f t="array" ref="Q219">_xlfn.IFS(P219&gt;4,"Excelent",AND(P219&gt;3,P219&lt;=4),"Very Good",AND(P219&gt;2,P219&lt;=3),"Good",AND(P219&gt;1,P219&lt;=2),"Fair")</f>
        <v>Good</v>
      </c>
      <c r="R219" s="63">
        <f t="shared" si="21"/>
        <v>0.55500000000000005</v>
      </c>
    </row>
    <row r="220" spans="1:19" ht="11.25" customHeight="1" x14ac:dyDescent="0.2">
      <c r="A220" s="48" t="str">
        <f t="shared" si="18"/>
        <v>2019</v>
      </c>
      <c r="B220" s="48" t="str">
        <f t="shared" si="23"/>
        <v>19 Sum</v>
      </c>
      <c r="C220" s="55" t="s">
        <v>154</v>
      </c>
      <c r="D220" s="56" t="s">
        <v>163</v>
      </c>
      <c r="E220" s="56" t="str">
        <f t="shared" si="19"/>
        <v>HSA 6717
Adv Hlth Mgt Res Sem 2019</v>
      </c>
      <c r="F220" s="57" t="s">
        <v>156</v>
      </c>
      <c r="G220" s="58">
        <v>19</v>
      </c>
      <c r="H220" s="59">
        <v>9</v>
      </c>
      <c r="I220" s="60" t="s">
        <v>111</v>
      </c>
      <c r="J220" s="61" t="s">
        <v>92</v>
      </c>
      <c r="K220" s="62">
        <v>0.33300000000000002</v>
      </c>
      <c r="L220" s="62">
        <v>0.111</v>
      </c>
      <c r="M220" s="62">
        <v>0.111</v>
      </c>
      <c r="N220" s="62">
        <v>0.111</v>
      </c>
      <c r="O220" s="62">
        <v>0.33300000000000002</v>
      </c>
      <c r="P220" s="72">
        <f t="shared" si="20"/>
        <v>2.9970000000000003</v>
      </c>
      <c r="Q220" s="88" t="str" cm="1">
        <f t="array" ref="Q220">_xlfn.IFS(P220&gt;4,"Excelent",AND(P220&gt;3,P220&lt;=4),"Very Good",AND(P220&gt;2,P220&lt;=3),"Good",AND(P220&gt;1,P220&lt;=2),"Fair")</f>
        <v>Good</v>
      </c>
      <c r="R220" s="63">
        <f t="shared" si="21"/>
        <v>0.44400000000000001</v>
      </c>
    </row>
    <row r="221" spans="1:19" ht="11.25" customHeight="1" x14ac:dyDescent="0.2">
      <c r="A221" s="48" t="str">
        <f t="shared" si="18"/>
        <v>2019</v>
      </c>
      <c r="B221" s="48" t="str">
        <f t="shared" si="23"/>
        <v>19 Sum</v>
      </c>
      <c r="C221" s="55" t="s">
        <v>154</v>
      </c>
      <c r="D221" s="56" t="s">
        <v>163</v>
      </c>
      <c r="E221" s="56" t="str">
        <f t="shared" si="19"/>
        <v>HSA 6717
Adv Hlth Mgt Res Sem 2019</v>
      </c>
      <c r="F221" s="57" t="s">
        <v>156</v>
      </c>
      <c r="G221" s="58">
        <v>19</v>
      </c>
      <c r="H221" s="59">
        <v>9</v>
      </c>
      <c r="I221" s="60" t="s">
        <v>111</v>
      </c>
      <c r="J221" s="61" t="s">
        <v>93</v>
      </c>
      <c r="K221" s="62">
        <v>0.222</v>
      </c>
      <c r="L221" s="62">
        <v>0.222</v>
      </c>
      <c r="M221" s="62">
        <v>0.111</v>
      </c>
      <c r="N221" s="62">
        <v>0</v>
      </c>
      <c r="O221" s="62">
        <v>0.44400000000000001</v>
      </c>
      <c r="P221" s="72">
        <f t="shared" si="20"/>
        <v>2.7750000000000004</v>
      </c>
      <c r="Q221" s="88" t="str" cm="1">
        <f t="array" ref="Q221">_xlfn.IFS(P221&gt;4,"Excelent",AND(P221&gt;3,P221&lt;=4),"Very Good",AND(P221&gt;2,P221&lt;=3),"Good",AND(P221&gt;1,P221&lt;=2),"Fair")</f>
        <v>Good</v>
      </c>
      <c r="R221" s="63">
        <f t="shared" si="21"/>
        <v>0.44400000000000001</v>
      </c>
    </row>
    <row r="222" spans="1:19" ht="11.25" customHeight="1" x14ac:dyDescent="0.2">
      <c r="A222" s="48" t="str">
        <f t="shared" si="18"/>
        <v>2019</v>
      </c>
      <c r="B222" s="48" t="str">
        <f t="shared" si="23"/>
        <v>19 Sum</v>
      </c>
      <c r="C222" s="55" t="s">
        <v>154</v>
      </c>
      <c r="D222" s="56" t="s">
        <v>163</v>
      </c>
      <c r="E222" s="56" t="str">
        <f t="shared" si="19"/>
        <v>HSA 6717
Adv Hlth Mgt Res Sem 2019</v>
      </c>
      <c r="F222" s="57" t="s">
        <v>156</v>
      </c>
      <c r="G222" s="58">
        <v>19</v>
      </c>
      <c r="H222" s="59">
        <v>9</v>
      </c>
      <c r="I222" s="60" t="s">
        <v>111</v>
      </c>
      <c r="J222" s="61" t="s">
        <v>94</v>
      </c>
      <c r="K222" s="62">
        <v>0.222</v>
      </c>
      <c r="L222" s="62">
        <v>0.222</v>
      </c>
      <c r="M222" s="62">
        <v>0.111</v>
      </c>
      <c r="N222" s="62">
        <v>0</v>
      </c>
      <c r="O222" s="62">
        <v>0.44400000000000001</v>
      </c>
      <c r="P222" s="72">
        <f t="shared" si="20"/>
        <v>2.7750000000000004</v>
      </c>
      <c r="Q222" s="88" t="str" cm="1">
        <f t="array" ref="Q222">_xlfn.IFS(P222&gt;4,"Excelent",AND(P222&gt;3,P222&lt;=4),"Very Good",AND(P222&gt;2,P222&lt;=3),"Good",AND(P222&gt;1,P222&lt;=2),"Fair")</f>
        <v>Good</v>
      </c>
      <c r="R222" s="63">
        <f t="shared" si="21"/>
        <v>0.44400000000000001</v>
      </c>
    </row>
    <row r="223" spans="1:19" ht="11.25" customHeight="1" x14ac:dyDescent="0.2">
      <c r="A223" s="48" t="str">
        <f t="shared" si="18"/>
        <v>2019</v>
      </c>
      <c r="B223" s="48" t="str">
        <f t="shared" si="23"/>
        <v>19 Sum</v>
      </c>
      <c r="C223" s="55" t="s">
        <v>154</v>
      </c>
      <c r="D223" s="56" t="s">
        <v>163</v>
      </c>
      <c r="E223" s="56" t="str">
        <f t="shared" si="19"/>
        <v>HSA 6717
Adv Hlth Mgt Res Sem 2019</v>
      </c>
      <c r="F223" s="57" t="s">
        <v>156</v>
      </c>
      <c r="G223" s="58">
        <v>19</v>
      </c>
      <c r="H223" s="59">
        <v>9</v>
      </c>
      <c r="I223" s="60" t="s">
        <v>111</v>
      </c>
      <c r="J223" s="61" t="s">
        <v>95</v>
      </c>
      <c r="K223" s="62">
        <v>0.222</v>
      </c>
      <c r="L223" s="62">
        <v>0.111</v>
      </c>
      <c r="M223" s="62">
        <v>0.222</v>
      </c>
      <c r="N223" s="62">
        <v>0.111</v>
      </c>
      <c r="O223" s="62">
        <v>0.33300000000000002</v>
      </c>
      <c r="P223" s="72">
        <f t="shared" si="20"/>
        <v>2.7750000000000004</v>
      </c>
      <c r="Q223" s="88" t="str" cm="1">
        <f t="array" ref="Q223">_xlfn.IFS(P223&gt;4,"Excelent",AND(P223&gt;3,P223&lt;=4),"Very Good",AND(P223&gt;2,P223&lt;=3),"Good",AND(P223&gt;1,P223&lt;=2),"Fair")</f>
        <v>Good</v>
      </c>
      <c r="R223" s="63">
        <f t="shared" si="21"/>
        <v>0.33300000000000002</v>
      </c>
    </row>
    <row r="224" spans="1:19" ht="11.25" customHeight="1" x14ac:dyDescent="0.2">
      <c r="A224" s="48" t="str">
        <f t="shared" si="18"/>
        <v>2019</v>
      </c>
      <c r="B224" s="48" t="str">
        <f t="shared" si="23"/>
        <v>19 Sum</v>
      </c>
      <c r="C224" s="55" t="s">
        <v>154</v>
      </c>
      <c r="D224" s="56" t="s">
        <v>163</v>
      </c>
      <c r="E224" s="56" t="str">
        <f t="shared" si="19"/>
        <v>HSA 6717
Adv Hlth Mgt Res Sem 2019</v>
      </c>
      <c r="F224" s="57" t="s">
        <v>156</v>
      </c>
      <c r="G224" s="58">
        <v>19</v>
      </c>
      <c r="H224" s="59">
        <v>9</v>
      </c>
      <c r="I224" s="60" t="s">
        <v>111</v>
      </c>
      <c r="J224" s="61" t="s">
        <v>96</v>
      </c>
      <c r="K224" s="62">
        <v>0.33300000000000002</v>
      </c>
      <c r="L224" s="62">
        <v>0.111</v>
      </c>
      <c r="M224" s="62">
        <v>0.111</v>
      </c>
      <c r="N224" s="62">
        <v>0.111</v>
      </c>
      <c r="O224" s="62">
        <v>0.33300000000000002</v>
      </c>
      <c r="P224" s="72">
        <f t="shared" si="20"/>
        <v>2.9970000000000003</v>
      </c>
      <c r="Q224" s="88" t="str" cm="1">
        <f t="array" ref="Q224">_xlfn.IFS(P224&gt;4,"Excelent",AND(P224&gt;3,P224&lt;=4),"Very Good",AND(P224&gt;2,P224&lt;=3),"Good",AND(P224&gt;1,P224&lt;=2),"Fair")</f>
        <v>Good</v>
      </c>
      <c r="R224" s="63">
        <f t="shared" si="21"/>
        <v>0.44400000000000001</v>
      </c>
    </row>
    <row r="225" spans="1:18" ht="11.25" customHeight="1" x14ac:dyDescent="0.2">
      <c r="A225" s="48" t="str">
        <f t="shared" si="18"/>
        <v>2019</v>
      </c>
      <c r="B225" s="48" t="str">
        <f t="shared" si="23"/>
        <v>19 Sum</v>
      </c>
      <c r="C225" s="55" t="s">
        <v>154</v>
      </c>
      <c r="D225" s="56" t="s">
        <v>163</v>
      </c>
      <c r="E225" s="56" t="str">
        <f t="shared" si="19"/>
        <v>HSA 6930
Pro Seminar Hlth Mgt 2019</v>
      </c>
      <c r="F225" s="57" t="s">
        <v>156</v>
      </c>
      <c r="G225" s="58">
        <v>19</v>
      </c>
      <c r="H225" s="59">
        <v>9</v>
      </c>
      <c r="I225" s="60" t="s">
        <v>111</v>
      </c>
      <c r="J225" s="61" t="s">
        <v>97</v>
      </c>
      <c r="K225" s="65">
        <v>0.111</v>
      </c>
      <c r="L225" s="65">
        <v>0.33300000000000002</v>
      </c>
      <c r="M225" s="65">
        <v>0.111</v>
      </c>
      <c r="N225" s="65">
        <v>0</v>
      </c>
      <c r="O225" s="65">
        <v>0.44400000000000001</v>
      </c>
      <c r="P225" s="72">
        <f t="shared" si="20"/>
        <v>2.6640000000000001</v>
      </c>
      <c r="Q225" s="88" t="str" cm="1">
        <f t="array" ref="Q225">_xlfn.IFS(P225&gt;4,"Excelent",AND(P225&gt;3,P225&lt;=4),"Very Good",AND(P225&gt;2,P225&lt;=3),"Good",AND(P225&gt;1,P225&lt;=2),"Fair")</f>
        <v>Good</v>
      </c>
      <c r="R225" s="63">
        <f t="shared" si="21"/>
        <v>0.44400000000000001</v>
      </c>
    </row>
    <row r="226" spans="1:18" ht="11.25" customHeight="1" x14ac:dyDescent="0.2">
      <c r="A226" s="48" t="str">
        <f t="shared" si="18"/>
        <v>2019</v>
      </c>
      <c r="B226" s="48" t="str">
        <f t="shared" si="23"/>
        <v>19 Sum</v>
      </c>
      <c r="C226" s="55" t="s">
        <v>154</v>
      </c>
      <c r="D226" s="56" t="s">
        <v>164</v>
      </c>
      <c r="E226" s="56" t="str">
        <f t="shared" si="19"/>
        <v>HSA 6930
Pro Seminar Hlth Mgt 2019</v>
      </c>
      <c r="F226" s="57" t="s">
        <v>157</v>
      </c>
      <c r="G226" s="58">
        <v>18</v>
      </c>
      <c r="H226" s="59">
        <v>6</v>
      </c>
      <c r="I226" s="60" t="s">
        <v>109</v>
      </c>
      <c r="J226" s="61" t="s">
        <v>90</v>
      </c>
      <c r="K226" s="62">
        <v>0.5</v>
      </c>
      <c r="L226" s="62">
        <v>0.16700000000000001</v>
      </c>
      <c r="M226" s="62">
        <v>0.16700000000000001</v>
      </c>
      <c r="N226" s="62">
        <v>0</v>
      </c>
      <c r="O226" s="62">
        <v>0</v>
      </c>
      <c r="P226" s="72">
        <f t="shared" si="20"/>
        <v>3.669</v>
      </c>
      <c r="Q226" s="88" t="str" cm="1">
        <f t="array" ref="Q226">_xlfn.IFS(P226&gt;4,"Excelent",AND(P226&gt;3,P226&lt;=4),"Very Good",AND(P226&gt;2,P226&lt;=3),"Good",AND(P226&gt;1,P226&lt;=2),"Fair")</f>
        <v>Very Good</v>
      </c>
      <c r="R226" s="63">
        <f t="shared" si="21"/>
        <v>0.66700000000000004</v>
      </c>
    </row>
    <row r="227" spans="1:18" ht="11.25" customHeight="1" x14ac:dyDescent="0.2">
      <c r="A227" s="48" t="str">
        <f t="shared" si="18"/>
        <v>2019</v>
      </c>
      <c r="B227" s="48" t="str">
        <f t="shared" si="23"/>
        <v>19 Sum</v>
      </c>
      <c r="C227" s="55" t="s">
        <v>154</v>
      </c>
      <c r="D227" s="56" t="s">
        <v>164</v>
      </c>
      <c r="E227" s="56" t="str">
        <f t="shared" si="19"/>
        <v>HSA 6930
Pro Seminar Hlth Mgt 2019</v>
      </c>
      <c r="F227" s="57" t="s">
        <v>157</v>
      </c>
      <c r="G227" s="58">
        <v>18</v>
      </c>
      <c r="H227" s="59">
        <v>6</v>
      </c>
      <c r="I227" s="60" t="s">
        <v>109</v>
      </c>
      <c r="J227" s="61" t="s">
        <v>91</v>
      </c>
      <c r="K227" s="62">
        <v>0.33300000000000002</v>
      </c>
      <c r="L227" s="62">
        <v>0.33300000000000002</v>
      </c>
      <c r="M227" s="62">
        <v>0.16700000000000001</v>
      </c>
      <c r="N227" s="62">
        <v>0</v>
      </c>
      <c r="O227" s="62">
        <v>0</v>
      </c>
      <c r="P227" s="72">
        <f t="shared" si="20"/>
        <v>3.4979999999999998</v>
      </c>
      <c r="Q227" s="88" t="str" cm="1">
        <f t="array" ref="Q227">_xlfn.IFS(P227&gt;4,"Excelent",AND(P227&gt;3,P227&lt;=4),"Very Good",AND(P227&gt;2,P227&lt;=3),"Good",AND(P227&gt;1,P227&lt;=2),"Fair")</f>
        <v>Very Good</v>
      </c>
      <c r="R227" s="63">
        <f t="shared" si="21"/>
        <v>0.66600000000000004</v>
      </c>
    </row>
    <row r="228" spans="1:18" ht="11.25" customHeight="1" x14ac:dyDescent="0.2">
      <c r="A228" s="48" t="str">
        <f t="shared" si="18"/>
        <v>2019</v>
      </c>
      <c r="B228" s="48" t="str">
        <f t="shared" si="23"/>
        <v>19 Sum</v>
      </c>
      <c r="C228" s="55" t="s">
        <v>154</v>
      </c>
      <c r="D228" s="56" t="s">
        <v>164</v>
      </c>
      <c r="E228" s="56" t="str">
        <f t="shared" si="19"/>
        <v>HSA 6930
Pro Seminar Hlth Mgt 2019</v>
      </c>
      <c r="F228" s="57" t="s">
        <v>157</v>
      </c>
      <c r="G228" s="58">
        <v>18</v>
      </c>
      <c r="H228" s="59">
        <v>6</v>
      </c>
      <c r="I228" s="60" t="s">
        <v>109</v>
      </c>
      <c r="J228" s="61" t="s">
        <v>92</v>
      </c>
      <c r="K228" s="62">
        <v>0.33300000000000002</v>
      </c>
      <c r="L228" s="62">
        <v>0.16700000000000001</v>
      </c>
      <c r="M228" s="62">
        <v>0.33300000000000002</v>
      </c>
      <c r="N228" s="62">
        <v>0</v>
      </c>
      <c r="O228" s="62">
        <v>0</v>
      </c>
      <c r="P228" s="72">
        <f t="shared" si="20"/>
        <v>3.3320000000000003</v>
      </c>
      <c r="Q228" s="88" t="str" cm="1">
        <f t="array" ref="Q228">_xlfn.IFS(P228&gt;4,"Excelent",AND(P228&gt;3,P228&lt;=4),"Very Good",AND(P228&gt;2,P228&lt;=3),"Good",AND(P228&gt;1,P228&lt;=2),"Fair")</f>
        <v>Very Good</v>
      </c>
      <c r="R228" s="63">
        <f t="shared" si="21"/>
        <v>0.5</v>
      </c>
    </row>
    <row r="229" spans="1:18" ht="11.25" customHeight="1" x14ac:dyDescent="0.2">
      <c r="A229" s="48" t="str">
        <f t="shared" si="18"/>
        <v>2019</v>
      </c>
      <c r="B229" s="48" t="str">
        <f t="shared" si="23"/>
        <v>19 Sum</v>
      </c>
      <c r="C229" s="55" t="s">
        <v>154</v>
      </c>
      <c r="D229" s="56" t="s">
        <v>164</v>
      </c>
      <c r="E229" s="56" t="str">
        <f t="shared" si="19"/>
        <v>HSA 6930
Pro Seminar Hlth Mgt 2019</v>
      </c>
      <c r="F229" s="57" t="s">
        <v>157</v>
      </c>
      <c r="G229" s="58">
        <v>18</v>
      </c>
      <c r="H229" s="59">
        <v>6</v>
      </c>
      <c r="I229" s="60" t="s">
        <v>109</v>
      </c>
      <c r="J229" s="61" t="s">
        <v>93</v>
      </c>
      <c r="K229" s="62">
        <v>0.16700000000000001</v>
      </c>
      <c r="L229" s="62">
        <v>0.33300000000000002</v>
      </c>
      <c r="M229" s="62">
        <v>0.33300000000000002</v>
      </c>
      <c r="N229" s="62">
        <v>0</v>
      </c>
      <c r="O229" s="62">
        <v>0</v>
      </c>
      <c r="P229" s="72">
        <f t="shared" si="20"/>
        <v>3.1660000000000004</v>
      </c>
      <c r="Q229" s="88" t="str" cm="1">
        <f t="array" ref="Q229">_xlfn.IFS(P229&gt;4,"Excelent",AND(P229&gt;3,P229&lt;=4),"Very Good",AND(P229&gt;2,P229&lt;=3),"Good",AND(P229&gt;1,P229&lt;=2),"Fair")</f>
        <v>Very Good</v>
      </c>
      <c r="R229" s="63">
        <f t="shared" si="21"/>
        <v>0.5</v>
      </c>
    </row>
    <row r="230" spans="1:18" ht="11.25" customHeight="1" x14ac:dyDescent="0.2">
      <c r="A230" s="48" t="str">
        <f t="shared" si="18"/>
        <v>2019</v>
      </c>
      <c r="B230" s="48" t="str">
        <f t="shared" si="23"/>
        <v>19 Sum</v>
      </c>
      <c r="C230" s="55" t="s">
        <v>154</v>
      </c>
      <c r="D230" s="56" t="s">
        <v>164</v>
      </c>
      <c r="E230" s="56" t="str">
        <f t="shared" si="19"/>
        <v>HSA 6930
Pro Seminar Hlth Mgt 2019</v>
      </c>
      <c r="F230" s="57" t="s">
        <v>157</v>
      </c>
      <c r="G230" s="58">
        <v>18</v>
      </c>
      <c r="H230" s="59">
        <v>6</v>
      </c>
      <c r="I230" s="60" t="s">
        <v>109</v>
      </c>
      <c r="J230" s="61" t="s">
        <v>94</v>
      </c>
      <c r="K230" s="62">
        <v>0.16700000000000001</v>
      </c>
      <c r="L230" s="62">
        <v>0.5</v>
      </c>
      <c r="M230" s="62">
        <v>0.16700000000000001</v>
      </c>
      <c r="N230" s="62">
        <v>0</v>
      </c>
      <c r="O230" s="62">
        <v>0</v>
      </c>
      <c r="P230" s="72">
        <f t="shared" si="20"/>
        <v>3.3359999999999999</v>
      </c>
      <c r="Q230" s="88" t="str" cm="1">
        <f t="array" ref="Q230">_xlfn.IFS(P230&gt;4,"Excelent",AND(P230&gt;3,P230&lt;=4),"Very Good",AND(P230&gt;2,P230&lt;=3),"Good",AND(P230&gt;1,P230&lt;=2),"Fair")</f>
        <v>Very Good</v>
      </c>
      <c r="R230" s="63">
        <f t="shared" si="21"/>
        <v>0.66700000000000004</v>
      </c>
    </row>
    <row r="231" spans="1:18" ht="11.25" customHeight="1" x14ac:dyDescent="0.2">
      <c r="A231" s="48" t="str">
        <f t="shared" si="18"/>
        <v>2019</v>
      </c>
      <c r="B231" s="48" t="str">
        <f t="shared" si="23"/>
        <v>19 Sum</v>
      </c>
      <c r="C231" s="55" t="s">
        <v>154</v>
      </c>
      <c r="D231" s="56" t="s">
        <v>164</v>
      </c>
      <c r="E231" s="56" t="str">
        <f t="shared" si="19"/>
        <v>HSA 6930
Pro Seminar Hlth Mgt 2019</v>
      </c>
      <c r="F231" s="57" t="s">
        <v>157</v>
      </c>
      <c r="G231" s="58">
        <v>18</v>
      </c>
      <c r="H231" s="59">
        <v>6</v>
      </c>
      <c r="I231" s="60" t="s">
        <v>109</v>
      </c>
      <c r="J231" s="61" t="s">
        <v>95</v>
      </c>
      <c r="K231" s="62">
        <v>0.16700000000000001</v>
      </c>
      <c r="L231" s="62">
        <v>0.33300000000000002</v>
      </c>
      <c r="M231" s="62">
        <v>0.16700000000000001</v>
      </c>
      <c r="N231" s="62">
        <v>0.16700000000000001</v>
      </c>
      <c r="O231" s="62">
        <v>0</v>
      </c>
      <c r="P231" s="72">
        <f t="shared" si="20"/>
        <v>3.0020000000000002</v>
      </c>
      <c r="Q231" s="88" t="str" cm="1">
        <f t="array" ref="Q231">_xlfn.IFS(P231&gt;4,"Excelent",AND(P231&gt;3,P231&lt;=4),"Very Good",AND(P231&gt;2,P231&lt;=3),"Good",AND(P231&gt;1,P231&lt;=2),"Fair")</f>
        <v>Very Good</v>
      </c>
      <c r="R231" s="63">
        <f t="shared" si="21"/>
        <v>0.5</v>
      </c>
    </row>
    <row r="232" spans="1:18" ht="11.25" customHeight="1" x14ac:dyDescent="0.2">
      <c r="A232" s="48" t="str">
        <f t="shared" si="18"/>
        <v>2019</v>
      </c>
      <c r="B232" s="48" t="str">
        <f t="shared" si="23"/>
        <v>19 Sum</v>
      </c>
      <c r="C232" s="55" t="s">
        <v>154</v>
      </c>
      <c r="D232" s="56" t="s">
        <v>164</v>
      </c>
      <c r="E232" s="56" t="str">
        <f t="shared" si="19"/>
        <v>HSA 6930
Pro Seminar Hlth Mgt 2019</v>
      </c>
      <c r="F232" s="57" t="s">
        <v>157</v>
      </c>
      <c r="G232" s="58">
        <v>18</v>
      </c>
      <c r="H232" s="59">
        <v>6</v>
      </c>
      <c r="I232" s="60" t="s">
        <v>109</v>
      </c>
      <c r="J232" s="61" t="s">
        <v>96</v>
      </c>
      <c r="K232" s="62">
        <v>0.33300000000000002</v>
      </c>
      <c r="L232" s="62">
        <v>0.16700000000000001</v>
      </c>
      <c r="M232" s="62">
        <v>0.33300000000000002</v>
      </c>
      <c r="N232" s="62">
        <v>0</v>
      </c>
      <c r="O232" s="62">
        <v>0</v>
      </c>
      <c r="P232" s="72">
        <f t="shared" si="20"/>
        <v>3.3320000000000003</v>
      </c>
      <c r="Q232" s="88" t="str" cm="1">
        <f t="array" ref="Q232">_xlfn.IFS(P232&gt;4,"Excelent",AND(P232&gt;3,P232&lt;=4),"Very Good",AND(P232&gt;2,P232&lt;=3),"Good",AND(P232&gt;1,P232&lt;=2),"Fair")</f>
        <v>Very Good</v>
      </c>
      <c r="R232" s="63">
        <f t="shared" si="21"/>
        <v>0.5</v>
      </c>
    </row>
    <row r="233" spans="1:18" ht="11.25" customHeight="1" x14ac:dyDescent="0.2">
      <c r="A233" s="48" t="str">
        <f t="shared" si="18"/>
        <v>2019</v>
      </c>
      <c r="B233" s="48" t="str">
        <f t="shared" si="23"/>
        <v>19 Sum</v>
      </c>
      <c r="C233" s="55" t="s">
        <v>154</v>
      </c>
      <c r="D233" s="56" t="s">
        <v>164</v>
      </c>
      <c r="E233" s="56" t="str">
        <f t="shared" si="19"/>
        <v>HSA 6930
Pro Seminar Hlth Mgt 2019</v>
      </c>
      <c r="F233" s="57" t="s">
        <v>157</v>
      </c>
      <c r="G233" s="58">
        <v>18</v>
      </c>
      <c r="H233" s="59">
        <v>6</v>
      </c>
      <c r="I233" s="60" t="s">
        <v>109</v>
      </c>
      <c r="J233" s="61" t="s">
        <v>97</v>
      </c>
      <c r="K233" s="65">
        <v>0.16700000000000001</v>
      </c>
      <c r="L233" s="65">
        <v>0.5</v>
      </c>
      <c r="M233" s="65">
        <v>0.16700000000000001</v>
      </c>
      <c r="N233" s="65">
        <v>0</v>
      </c>
      <c r="O233" s="65">
        <v>0</v>
      </c>
      <c r="P233" s="72">
        <f t="shared" si="20"/>
        <v>3.3359999999999999</v>
      </c>
      <c r="Q233" s="88" t="str" cm="1">
        <f t="array" ref="Q233">_xlfn.IFS(P233&gt;4,"Excelent",AND(P233&gt;3,P233&lt;=4),"Very Good",AND(P233&gt;2,P233&lt;=3),"Good",AND(P233&gt;1,P233&lt;=2),"Fair")</f>
        <v>Very Good</v>
      </c>
      <c r="R233" s="63">
        <f t="shared" si="21"/>
        <v>0.66700000000000004</v>
      </c>
    </row>
    <row r="234" spans="1:18" ht="11.25" customHeight="1" x14ac:dyDescent="0.2">
      <c r="A234" s="48" t="str">
        <f t="shared" si="18"/>
        <v>2019</v>
      </c>
      <c r="B234" s="48" t="str">
        <f t="shared" si="23"/>
        <v>19 Sum</v>
      </c>
      <c r="C234" s="55" t="s">
        <v>154</v>
      </c>
      <c r="D234" s="56" t="s">
        <v>164</v>
      </c>
      <c r="E234" s="56" t="str">
        <f t="shared" si="19"/>
        <v>HSA 6930
Pro Seminar Hlth Mgt 2019</v>
      </c>
      <c r="F234" s="57" t="s">
        <v>158</v>
      </c>
      <c r="G234" s="58">
        <v>19</v>
      </c>
      <c r="H234" s="59">
        <v>8</v>
      </c>
      <c r="I234" s="60" t="s">
        <v>111</v>
      </c>
      <c r="J234" s="61" t="s">
        <v>90</v>
      </c>
      <c r="K234" s="62">
        <v>0.5</v>
      </c>
      <c r="L234" s="62">
        <v>0.125</v>
      </c>
      <c r="M234" s="62">
        <v>0.125</v>
      </c>
      <c r="N234" s="62">
        <v>0.125</v>
      </c>
      <c r="O234" s="62">
        <v>0.125</v>
      </c>
      <c r="P234" s="72">
        <f t="shared" si="20"/>
        <v>3.75</v>
      </c>
      <c r="Q234" s="88" t="str" cm="1">
        <f t="array" ref="Q234">_xlfn.IFS(P234&gt;4,"Excelent",AND(P234&gt;3,P234&lt;=4),"Very Good",AND(P234&gt;2,P234&lt;=3),"Good",AND(P234&gt;1,P234&lt;=2),"Fair")</f>
        <v>Very Good</v>
      </c>
      <c r="R234" s="63">
        <f t="shared" si="21"/>
        <v>0.625</v>
      </c>
    </row>
    <row r="235" spans="1:18" ht="11.25" customHeight="1" x14ac:dyDescent="0.2">
      <c r="A235" s="48" t="str">
        <f t="shared" si="18"/>
        <v>2019</v>
      </c>
      <c r="B235" s="48" t="str">
        <f t="shared" si="23"/>
        <v>19 Sum</v>
      </c>
      <c r="C235" s="55" t="s">
        <v>154</v>
      </c>
      <c r="D235" s="56" t="s">
        <v>164</v>
      </c>
      <c r="E235" s="56" t="str">
        <f t="shared" si="19"/>
        <v>HSA 6930
Pro Seminar Hlth Mgt 2019</v>
      </c>
      <c r="F235" s="57" t="s">
        <v>158</v>
      </c>
      <c r="G235" s="58">
        <v>19</v>
      </c>
      <c r="H235" s="59">
        <v>8</v>
      </c>
      <c r="I235" s="60" t="s">
        <v>111</v>
      </c>
      <c r="J235" s="61" t="s">
        <v>91</v>
      </c>
      <c r="K235" s="62">
        <v>0.625</v>
      </c>
      <c r="L235" s="62">
        <v>0</v>
      </c>
      <c r="M235" s="62">
        <v>0</v>
      </c>
      <c r="N235" s="62">
        <v>0.25</v>
      </c>
      <c r="O235" s="62">
        <v>0.125</v>
      </c>
      <c r="P235" s="72">
        <f t="shared" si="20"/>
        <v>3.75</v>
      </c>
      <c r="Q235" s="88" t="str" cm="1">
        <f t="array" ref="Q235">_xlfn.IFS(P235&gt;4,"Excelent",AND(P235&gt;3,P235&lt;=4),"Very Good",AND(P235&gt;2,P235&lt;=3),"Good",AND(P235&gt;1,P235&lt;=2),"Fair")</f>
        <v>Very Good</v>
      </c>
      <c r="R235" s="63">
        <f t="shared" si="21"/>
        <v>0.625</v>
      </c>
    </row>
    <row r="236" spans="1:18" ht="11.25" customHeight="1" x14ac:dyDescent="0.2">
      <c r="A236" s="48" t="str">
        <f t="shared" si="18"/>
        <v>2019</v>
      </c>
      <c r="B236" s="48" t="str">
        <f t="shared" si="23"/>
        <v>19 Sum</v>
      </c>
      <c r="C236" s="55" t="s">
        <v>154</v>
      </c>
      <c r="D236" s="56" t="s">
        <v>164</v>
      </c>
      <c r="E236" s="56" t="str">
        <f t="shared" si="19"/>
        <v>HSA 6930
Pro Seminar Hlth Mgt 2019</v>
      </c>
      <c r="F236" s="57" t="s">
        <v>158</v>
      </c>
      <c r="G236" s="58">
        <v>19</v>
      </c>
      <c r="H236" s="59">
        <v>8</v>
      </c>
      <c r="I236" s="60" t="s">
        <v>111</v>
      </c>
      <c r="J236" s="61" t="s">
        <v>92</v>
      </c>
      <c r="K236" s="62">
        <v>0.5</v>
      </c>
      <c r="L236" s="62">
        <v>0.125</v>
      </c>
      <c r="M236" s="62">
        <v>0</v>
      </c>
      <c r="N236" s="62">
        <v>0.125</v>
      </c>
      <c r="O236" s="62">
        <v>0.25</v>
      </c>
      <c r="P236" s="72">
        <f t="shared" si="20"/>
        <v>3.5</v>
      </c>
      <c r="Q236" s="88" t="str" cm="1">
        <f t="array" ref="Q236">_xlfn.IFS(P236&gt;4,"Excelent",AND(P236&gt;3,P236&lt;=4),"Very Good",AND(P236&gt;2,P236&lt;=3),"Good",AND(P236&gt;1,P236&lt;=2),"Fair")</f>
        <v>Very Good</v>
      </c>
      <c r="R236" s="63">
        <f t="shared" si="21"/>
        <v>0.625</v>
      </c>
    </row>
    <row r="237" spans="1:18" ht="11.25" customHeight="1" x14ac:dyDescent="0.2">
      <c r="A237" s="48" t="str">
        <f t="shared" si="18"/>
        <v>2019</v>
      </c>
      <c r="B237" s="48" t="str">
        <f t="shared" si="23"/>
        <v>19 Sum</v>
      </c>
      <c r="C237" s="55" t="s">
        <v>154</v>
      </c>
      <c r="D237" s="56" t="s">
        <v>164</v>
      </c>
      <c r="E237" s="56" t="str">
        <f t="shared" si="19"/>
        <v>HSA 6930
Pro Seminar Hlth Mgt 2019</v>
      </c>
      <c r="F237" s="57" t="s">
        <v>158</v>
      </c>
      <c r="G237" s="58">
        <v>19</v>
      </c>
      <c r="H237" s="59">
        <v>8</v>
      </c>
      <c r="I237" s="60" t="s">
        <v>111</v>
      </c>
      <c r="J237" s="61" t="s">
        <v>93</v>
      </c>
      <c r="K237" s="62">
        <v>0.375</v>
      </c>
      <c r="L237" s="62">
        <v>0.125</v>
      </c>
      <c r="M237" s="62">
        <v>0.125</v>
      </c>
      <c r="N237" s="62">
        <v>0</v>
      </c>
      <c r="O237" s="62">
        <v>0.375</v>
      </c>
      <c r="P237" s="72">
        <f t="shared" si="20"/>
        <v>3.125</v>
      </c>
      <c r="Q237" s="88" t="str" cm="1">
        <f t="array" ref="Q237">_xlfn.IFS(P237&gt;4,"Excelent",AND(P237&gt;3,P237&lt;=4),"Very Good",AND(P237&gt;2,P237&lt;=3),"Good",AND(P237&gt;1,P237&lt;=2),"Fair")</f>
        <v>Very Good</v>
      </c>
      <c r="R237" s="63">
        <f t="shared" si="21"/>
        <v>0.5</v>
      </c>
    </row>
    <row r="238" spans="1:18" ht="11.25" customHeight="1" x14ac:dyDescent="0.2">
      <c r="A238" s="48" t="str">
        <f t="shared" si="18"/>
        <v>2019</v>
      </c>
      <c r="B238" s="48" t="str">
        <f t="shared" si="23"/>
        <v>19 Sum</v>
      </c>
      <c r="C238" s="55" t="s">
        <v>154</v>
      </c>
      <c r="D238" s="56" t="s">
        <v>164</v>
      </c>
      <c r="E238" s="56" t="str">
        <f t="shared" si="19"/>
        <v>HSA 6930
Pro Seminar Hlth Mgt 2019</v>
      </c>
      <c r="F238" s="57" t="s">
        <v>158</v>
      </c>
      <c r="G238" s="58">
        <v>19</v>
      </c>
      <c r="H238" s="59">
        <v>8</v>
      </c>
      <c r="I238" s="60" t="s">
        <v>111</v>
      </c>
      <c r="J238" s="61" t="s">
        <v>94</v>
      </c>
      <c r="K238" s="62">
        <v>0.5</v>
      </c>
      <c r="L238" s="62">
        <v>0.125</v>
      </c>
      <c r="M238" s="62">
        <v>0</v>
      </c>
      <c r="N238" s="62">
        <v>0</v>
      </c>
      <c r="O238" s="62">
        <v>0.375</v>
      </c>
      <c r="P238" s="72">
        <f t="shared" si="20"/>
        <v>3.375</v>
      </c>
      <c r="Q238" s="88" t="str" cm="1">
        <f t="array" ref="Q238">_xlfn.IFS(P238&gt;4,"Excelent",AND(P238&gt;3,P238&lt;=4),"Very Good",AND(P238&gt;2,P238&lt;=3),"Good",AND(P238&gt;1,P238&lt;=2),"Fair")</f>
        <v>Very Good</v>
      </c>
      <c r="R238" s="63">
        <f t="shared" si="21"/>
        <v>0.625</v>
      </c>
    </row>
    <row r="239" spans="1:18" ht="11.25" customHeight="1" x14ac:dyDescent="0.2">
      <c r="A239" s="48" t="str">
        <f t="shared" si="18"/>
        <v>2019</v>
      </c>
      <c r="B239" s="48" t="str">
        <f t="shared" si="23"/>
        <v>19 Sum</v>
      </c>
      <c r="C239" s="55" t="s">
        <v>154</v>
      </c>
      <c r="D239" s="56" t="s">
        <v>164</v>
      </c>
      <c r="E239" s="56" t="str">
        <f t="shared" si="19"/>
        <v>HSA 6930
Pro Seminar Hlth Mgt 2019</v>
      </c>
      <c r="F239" s="57" t="s">
        <v>158</v>
      </c>
      <c r="G239" s="58">
        <v>19</v>
      </c>
      <c r="H239" s="59">
        <v>8</v>
      </c>
      <c r="I239" s="60" t="s">
        <v>111</v>
      </c>
      <c r="J239" s="61" t="s">
        <v>95</v>
      </c>
      <c r="K239" s="62">
        <v>0.5</v>
      </c>
      <c r="L239" s="62">
        <v>0</v>
      </c>
      <c r="M239" s="62">
        <v>0.125</v>
      </c>
      <c r="N239" s="62">
        <v>0.25</v>
      </c>
      <c r="O239" s="62">
        <v>0.125</v>
      </c>
      <c r="P239" s="72">
        <f t="shared" si="20"/>
        <v>3.5</v>
      </c>
      <c r="Q239" s="88" t="str" cm="1">
        <f t="array" ref="Q239">_xlfn.IFS(P239&gt;4,"Excelent",AND(P239&gt;3,P239&lt;=4),"Very Good",AND(P239&gt;2,P239&lt;=3),"Good",AND(P239&gt;1,P239&lt;=2),"Fair")</f>
        <v>Very Good</v>
      </c>
      <c r="R239" s="63">
        <f t="shared" si="21"/>
        <v>0.5</v>
      </c>
    </row>
    <row r="240" spans="1:18" ht="11.25" customHeight="1" x14ac:dyDescent="0.2">
      <c r="A240" s="48" t="str">
        <f t="shared" si="18"/>
        <v>2019</v>
      </c>
      <c r="B240" s="48" t="str">
        <f t="shared" si="23"/>
        <v>19 Sum</v>
      </c>
      <c r="C240" s="55" t="s">
        <v>154</v>
      </c>
      <c r="D240" s="56" t="s">
        <v>164</v>
      </c>
      <c r="E240" s="56" t="str">
        <f t="shared" si="19"/>
        <v>HSA 6930
Pro Seminar Hlth Mgt 2019</v>
      </c>
      <c r="F240" s="57" t="s">
        <v>158</v>
      </c>
      <c r="G240" s="58">
        <v>19</v>
      </c>
      <c r="H240" s="59">
        <v>8</v>
      </c>
      <c r="I240" s="60" t="s">
        <v>111</v>
      </c>
      <c r="J240" s="61" t="s">
        <v>96</v>
      </c>
      <c r="K240" s="62">
        <v>0.5</v>
      </c>
      <c r="L240" s="62">
        <v>0</v>
      </c>
      <c r="M240" s="62">
        <v>0.125</v>
      </c>
      <c r="N240" s="62">
        <v>0.125</v>
      </c>
      <c r="O240" s="62">
        <v>0.25</v>
      </c>
      <c r="P240" s="72">
        <f t="shared" si="20"/>
        <v>3.375</v>
      </c>
      <c r="Q240" s="88" t="str" cm="1">
        <f t="array" ref="Q240">_xlfn.IFS(P240&gt;4,"Excelent",AND(P240&gt;3,P240&lt;=4),"Very Good",AND(P240&gt;2,P240&lt;=3),"Good",AND(P240&gt;1,P240&lt;=2),"Fair")</f>
        <v>Very Good</v>
      </c>
      <c r="R240" s="63">
        <f t="shared" si="21"/>
        <v>0.5</v>
      </c>
    </row>
    <row r="241" spans="1:19" s="75" customFormat="1" ht="11.25" customHeight="1" x14ac:dyDescent="0.25">
      <c r="A241" s="75" t="str">
        <f t="shared" si="18"/>
        <v>2019</v>
      </c>
      <c r="B241" s="75" t="str">
        <f t="shared" si="23"/>
        <v>19 Sum</v>
      </c>
      <c r="C241" s="76" t="s">
        <v>154</v>
      </c>
      <c r="D241" s="76" t="s">
        <v>104</v>
      </c>
      <c r="E241" s="76" t="str">
        <f t="shared" si="19"/>
        <v>HSA 6175
Fin Mgt Hlth Sys 2019</v>
      </c>
      <c r="F241" s="77" t="s">
        <v>158</v>
      </c>
      <c r="G241" s="78">
        <v>19</v>
      </c>
      <c r="H241" s="79">
        <v>8</v>
      </c>
      <c r="I241" s="80" t="s">
        <v>111</v>
      </c>
      <c r="J241" s="81" t="s">
        <v>97</v>
      </c>
      <c r="K241" s="82">
        <v>0.5</v>
      </c>
      <c r="L241" s="82">
        <v>0</v>
      </c>
      <c r="M241" s="82">
        <v>0.125</v>
      </c>
      <c r="N241" s="82">
        <v>0</v>
      </c>
      <c r="O241" s="82">
        <v>0.375</v>
      </c>
      <c r="P241" s="83">
        <f t="shared" si="20"/>
        <v>3.25</v>
      </c>
      <c r="Q241" s="88" t="str" cm="1">
        <f t="array" ref="Q241">_xlfn.IFS(P241&gt;4,"Excelent",AND(P241&gt;3,P241&lt;=4),"Very Good",AND(P241&gt;2,P241&lt;=3),"Good",AND(P241&gt;1,P241&lt;=2),"Fair")</f>
        <v>Very Good</v>
      </c>
      <c r="R241" s="84">
        <f t="shared" si="21"/>
        <v>0.5</v>
      </c>
      <c r="S241" s="75">
        <f>AVERAGE(P210:P241)</f>
        <v>3.1672187499999995</v>
      </c>
    </row>
    <row r="242" spans="1:19" ht="11.25" customHeight="1" x14ac:dyDescent="0.2">
      <c r="A242" s="48" t="str">
        <f t="shared" si="18"/>
        <v>2019</v>
      </c>
      <c r="B242" s="48" t="str">
        <f t="shared" si="23"/>
        <v>19 Spr</v>
      </c>
      <c r="C242" s="55" t="s">
        <v>119</v>
      </c>
      <c r="D242" s="56" t="s">
        <v>165</v>
      </c>
      <c r="E242" s="56" t="str">
        <f t="shared" si="19"/>
        <v>HSA 6175
Fin Mgt Hlth Sys 2019</v>
      </c>
      <c r="F242" s="57" t="s">
        <v>159</v>
      </c>
      <c r="G242" s="58">
        <v>23</v>
      </c>
      <c r="H242" s="59">
        <v>11</v>
      </c>
      <c r="I242" s="60" t="s">
        <v>109</v>
      </c>
      <c r="J242" s="61" t="s">
        <v>90</v>
      </c>
      <c r="K242" s="62">
        <v>0.182</v>
      </c>
      <c r="L242" s="62">
        <v>0.182</v>
      </c>
      <c r="M242" s="62">
        <v>0.54500000000000004</v>
      </c>
      <c r="N242" s="62">
        <v>9.0999999999999998E-2</v>
      </c>
      <c r="O242" s="62">
        <v>0</v>
      </c>
      <c r="P242" s="72">
        <f t="shared" si="20"/>
        <v>3.4550000000000001</v>
      </c>
      <c r="Q242" s="88" t="str" cm="1">
        <f t="array" ref="Q242">_xlfn.IFS(P242&gt;4,"Excelent",AND(P242&gt;3,P242&lt;=4),"Very Good",AND(P242&gt;2,P242&lt;=3),"Good",AND(P242&gt;1,P242&lt;=2),"Fair")</f>
        <v>Very Good</v>
      </c>
      <c r="R242" s="63">
        <f t="shared" si="21"/>
        <v>0.36399999999999999</v>
      </c>
    </row>
    <row r="243" spans="1:19" ht="11.25" customHeight="1" x14ac:dyDescent="0.2">
      <c r="A243" s="48" t="str">
        <f t="shared" si="18"/>
        <v>2019</v>
      </c>
      <c r="B243" s="48" t="str">
        <f t="shared" si="23"/>
        <v>19 Spr</v>
      </c>
      <c r="C243" s="55" t="s">
        <v>119</v>
      </c>
      <c r="D243" s="56" t="s">
        <v>165</v>
      </c>
      <c r="E243" s="56" t="str">
        <f t="shared" si="19"/>
        <v>HSA 6175
Fin Mgt Hlth Sys 2019</v>
      </c>
      <c r="F243" s="57" t="s">
        <v>159</v>
      </c>
      <c r="G243" s="58">
        <v>23</v>
      </c>
      <c r="H243" s="59">
        <v>11</v>
      </c>
      <c r="I243" s="60" t="s">
        <v>109</v>
      </c>
      <c r="J243" s="61" t="s">
        <v>91</v>
      </c>
      <c r="K243" s="62">
        <v>0.182</v>
      </c>
      <c r="L243" s="62">
        <v>0.36399999999999999</v>
      </c>
      <c r="M243" s="62">
        <v>0.27300000000000002</v>
      </c>
      <c r="N243" s="62">
        <v>9.0999999999999998E-2</v>
      </c>
      <c r="O243" s="62">
        <v>9.0999999999999998E-2</v>
      </c>
      <c r="P243" s="72">
        <f t="shared" si="20"/>
        <v>3.4579999999999997</v>
      </c>
      <c r="Q243" s="88" t="str" cm="1">
        <f t="array" ref="Q243">_xlfn.IFS(P243&gt;4,"Excelent",AND(P243&gt;3,P243&lt;=4),"Very Good",AND(P243&gt;2,P243&lt;=3),"Good",AND(P243&gt;1,P243&lt;=2),"Fair")</f>
        <v>Very Good</v>
      </c>
      <c r="R243" s="63">
        <f t="shared" si="21"/>
        <v>0.54600000000000004</v>
      </c>
    </row>
    <row r="244" spans="1:19" ht="11.25" customHeight="1" x14ac:dyDescent="0.2">
      <c r="A244" s="48" t="str">
        <f t="shared" si="18"/>
        <v>2019</v>
      </c>
      <c r="B244" s="48" t="str">
        <f t="shared" si="23"/>
        <v>19 Spr</v>
      </c>
      <c r="C244" s="55" t="s">
        <v>119</v>
      </c>
      <c r="D244" s="56" t="s">
        <v>165</v>
      </c>
      <c r="E244" s="56" t="str">
        <f t="shared" si="19"/>
        <v>HSA 6175
Fin Mgt Hlth Sys 2019</v>
      </c>
      <c r="F244" s="57" t="s">
        <v>159</v>
      </c>
      <c r="G244" s="58">
        <v>23</v>
      </c>
      <c r="H244" s="59">
        <v>11</v>
      </c>
      <c r="I244" s="60" t="s">
        <v>109</v>
      </c>
      <c r="J244" s="61" t="s">
        <v>92</v>
      </c>
      <c r="K244" s="62">
        <v>9.0999999999999998E-2</v>
      </c>
      <c r="L244" s="62">
        <v>9.0999999999999998E-2</v>
      </c>
      <c r="M244" s="62">
        <v>0.36399999999999999</v>
      </c>
      <c r="N244" s="62">
        <v>0.45500000000000002</v>
      </c>
      <c r="O244" s="62">
        <v>0</v>
      </c>
      <c r="P244" s="72">
        <f t="shared" si="20"/>
        <v>2.8210000000000002</v>
      </c>
      <c r="Q244" s="88" t="str" cm="1">
        <f t="array" ref="Q244">_xlfn.IFS(P244&gt;4,"Excelent",AND(P244&gt;3,P244&lt;=4),"Very Good",AND(P244&gt;2,P244&lt;=3),"Good",AND(P244&gt;1,P244&lt;=2),"Fair")</f>
        <v>Good</v>
      </c>
      <c r="R244" s="63">
        <f t="shared" si="21"/>
        <v>0.182</v>
      </c>
    </row>
    <row r="245" spans="1:19" ht="11.25" customHeight="1" x14ac:dyDescent="0.2">
      <c r="A245" s="48" t="str">
        <f t="shared" si="18"/>
        <v>2019</v>
      </c>
      <c r="B245" s="48" t="str">
        <f t="shared" si="23"/>
        <v>19 Spr</v>
      </c>
      <c r="C245" s="55" t="s">
        <v>119</v>
      </c>
      <c r="D245" s="56" t="s">
        <v>165</v>
      </c>
      <c r="E245" s="56" t="str">
        <f t="shared" si="19"/>
        <v>HSA 6175
Fin Mgt Hlth Sys 2019</v>
      </c>
      <c r="F245" s="57" t="s">
        <v>159</v>
      </c>
      <c r="G245" s="58">
        <v>23</v>
      </c>
      <c r="H245" s="59">
        <v>11</v>
      </c>
      <c r="I245" s="60" t="s">
        <v>109</v>
      </c>
      <c r="J245" s="61" t="s">
        <v>93</v>
      </c>
      <c r="K245" s="62">
        <v>9.0999999999999998E-2</v>
      </c>
      <c r="L245" s="62">
        <v>9.0999999999999998E-2</v>
      </c>
      <c r="M245" s="62">
        <v>0.45500000000000002</v>
      </c>
      <c r="N245" s="62">
        <v>0.182</v>
      </c>
      <c r="O245" s="62">
        <v>0.182</v>
      </c>
      <c r="P245" s="72">
        <f t="shared" si="20"/>
        <v>2.73</v>
      </c>
      <c r="Q245" s="88" t="str" cm="1">
        <f t="array" ref="Q245">_xlfn.IFS(P245&gt;4,"Excelent",AND(P245&gt;3,P245&lt;=4),"Very Good",AND(P245&gt;2,P245&lt;=3),"Good",AND(P245&gt;1,P245&lt;=2),"Fair")</f>
        <v>Good</v>
      </c>
      <c r="R245" s="63">
        <f t="shared" si="21"/>
        <v>0.182</v>
      </c>
    </row>
    <row r="246" spans="1:19" ht="11.25" customHeight="1" x14ac:dyDescent="0.2">
      <c r="A246" s="48" t="str">
        <f t="shared" si="18"/>
        <v>2019</v>
      </c>
      <c r="B246" s="48" t="str">
        <f t="shared" si="23"/>
        <v>19 Spr</v>
      </c>
      <c r="C246" s="55" t="s">
        <v>119</v>
      </c>
      <c r="D246" s="56" t="s">
        <v>165</v>
      </c>
      <c r="E246" s="56" t="str">
        <f t="shared" si="19"/>
        <v>HSA 6175
Fin Mgt Hlth Sys 2019</v>
      </c>
      <c r="F246" s="57" t="s">
        <v>159</v>
      </c>
      <c r="G246" s="58">
        <v>23</v>
      </c>
      <c r="H246" s="59">
        <v>11</v>
      </c>
      <c r="I246" s="60" t="s">
        <v>109</v>
      </c>
      <c r="J246" s="61" t="s">
        <v>94</v>
      </c>
      <c r="K246" s="62">
        <v>0.182</v>
      </c>
      <c r="L246" s="62">
        <v>9.0999999999999998E-2</v>
      </c>
      <c r="M246" s="62">
        <v>0.45500000000000002</v>
      </c>
      <c r="N246" s="62">
        <v>9.0999999999999998E-2</v>
      </c>
      <c r="O246" s="62">
        <v>0.182</v>
      </c>
      <c r="P246" s="72">
        <f t="shared" si="20"/>
        <v>3.0030000000000001</v>
      </c>
      <c r="Q246" s="88" t="str" cm="1">
        <f t="array" ref="Q246">_xlfn.IFS(P246&gt;4,"Excelent",AND(P246&gt;3,P246&lt;=4),"Very Good",AND(P246&gt;2,P246&lt;=3),"Good",AND(P246&gt;1,P246&lt;=2),"Fair")</f>
        <v>Very Good</v>
      </c>
      <c r="R246" s="63">
        <f t="shared" si="21"/>
        <v>0.27300000000000002</v>
      </c>
    </row>
    <row r="247" spans="1:19" ht="11.25" customHeight="1" x14ac:dyDescent="0.2">
      <c r="A247" s="48" t="str">
        <f t="shared" si="18"/>
        <v>2019</v>
      </c>
      <c r="B247" s="48" t="str">
        <f t="shared" si="23"/>
        <v>19 Spr</v>
      </c>
      <c r="C247" s="55" t="s">
        <v>119</v>
      </c>
      <c r="D247" s="56" t="s">
        <v>165</v>
      </c>
      <c r="E247" s="56" t="str">
        <f t="shared" si="19"/>
        <v>HSA 6175
Fin Mgt Hlth Sys 2019</v>
      </c>
      <c r="F247" s="57" t="s">
        <v>159</v>
      </c>
      <c r="G247" s="58">
        <v>23</v>
      </c>
      <c r="H247" s="59">
        <v>11</v>
      </c>
      <c r="I247" s="60" t="s">
        <v>109</v>
      </c>
      <c r="J247" s="61" t="s">
        <v>95</v>
      </c>
      <c r="K247" s="62">
        <v>0.182</v>
      </c>
      <c r="L247" s="62">
        <v>0.182</v>
      </c>
      <c r="M247" s="62">
        <v>0.27300000000000002</v>
      </c>
      <c r="N247" s="62">
        <v>0.182</v>
      </c>
      <c r="O247" s="62">
        <v>9.0999999999999998E-2</v>
      </c>
      <c r="P247" s="72">
        <f t="shared" si="20"/>
        <v>2.9119999999999999</v>
      </c>
      <c r="Q247" s="88" t="str" cm="1">
        <f t="array" ref="Q247">_xlfn.IFS(P247&gt;4,"Excelent",AND(P247&gt;3,P247&lt;=4),"Very Good",AND(P247&gt;2,P247&lt;=3),"Good",AND(P247&gt;1,P247&lt;=2),"Fair")</f>
        <v>Good</v>
      </c>
      <c r="R247" s="63">
        <f t="shared" si="21"/>
        <v>0.36399999999999999</v>
      </c>
    </row>
    <row r="248" spans="1:19" ht="11.25" customHeight="1" x14ac:dyDescent="0.2">
      <c r="A248" s="48" t="str">
        <f t="shared" si="18"/>
        <v>2019</v>
      </c>
      <c r="B248" s="48" t="str">
        <f t="shared" si="23"/>
        <v>19 Spr</v>
      </c>
      <c r="C248" s="55" t="s">
        <v>119</v>
      </c>
      <c r="D248" s="56" t="s">
        <v>165</v>
      </c>
      <c r="E248" s="56" t="str">
        <f t="shared" si="19"/>
        <v>HSA 6175
Fin Mgt Hlth Sys 2019</v>
      </c>
      <c r="F248" s="57" t="s">
        <v>159</v>
      </c>
      <c r="G248" s="58">
        <v>23</v>
      </c>
      <c r="H248" s="59">
        <v>11</v>
      </c>
      <c r="I248" s="60" t="s">
        <v>109</v>
      </c>
      <c r="J248" s="61" t="s">
        <v>96</v>
      </c>
      <c r="K248" s="62">
        <v>0.36399999999999999</v>
      </c>
      <c r="L248" s="62">
        <v>9.0999999999999998E-2</v>
      </c>
      <c r="M248" s="62">
        <v>0.36399999999999999</v>
      </c>
      <c r="N248" s="62">
        <v>9.0999999999999998E-2</v>
      </c>
      <c r="O248" s="62">
        <v>9.0999999999999998E-2</v>
      </c>
      <c r="P248" s="72">
        <f t="shared" si="20"/>
        <v>3.5489999999999999</v>
      </c>
      <c r="Q248" s="88" t="str" cm="1">
        <f t="array" ref="Q248">_xlfn.IFS(P248&gt;4,"Excelent",AND(P248&gt;3,P248&lt;=4),"Very Good",AND(P248&gt;2,P248&lt;=3),"Good",AND(P248&gt;1,P248&lt;=2),"Fair")</f>
        <v>Very Good</v>
      </c>
      <c r="R248" s="63">
        <f t="shared" si="21"/>
        <v>0.45499999999999996</v>
      </c>
    </row>
    <row r="249" spans="1:19" ht="11.25" customHeight="1" x14ac:dyDescent="0.2">
      <c r="A249" s="48" t="str">
        <f t="shared" si="18"/>
        <v>2019</v>
      </c>
      <c r="B249" s="48" t="str">
        <f t="shared" si="23"/>
        <v>19 Spr</v>
      </c>
      <c r="C249" s="55" t="s">
        <v>119</v>
      </c>
      <c r="D249" s="56" t="s">
        <v>165</v>
      </c>
      <c r="E249" s="56" t="str">
        <f t="shared" si="19"/>
        <v>HSA 6187
Mgt HR Hlth Prof 2019</v>
      </c>
      <c r="F249" s="57" t="s">
        <v>159</v>
      </c>
      <c r="G249" s="58">
        <v>23</v>
      </c>
      <c r="H249" s="59">
        <v>11</v>
      </c>
      <c r="I249" s="60" t="s">
        <v>109</v>
      </c>
      <c r="J249" s="61" t="s">
        <v>97</v>
      </c>
      <c r="K249" s="65">
        <v>9.0999999999999998E-2</v>
      </c>
      <c r="L249" s="65">
        <v>0.182</v>
      </c>
      <c r="M249" s="65">
        <v>0.36399999999999999</v>
      </c>
      <c r="N249" s="65">
        <v>0.27300000000000002</v>
      </c>
      <c r="O249" s="65">
        <v>9.0999999999999998E-2</v>
      </c>
      <c r="P249" s="72">
        <f t="shared" si="20"/>
        <v>2.9119999999999999</v>
      </c>
      <c r="Q249" s="88" t="str" cm="1">
        <f t="array" ref="Q249">_xlfn.IFS(P249&gt;4,"Excelent",AND(P249&gt;3,P249&lt;=4),"Very Good",AND(P249&gt;2,P249&lt;=3),"Good",AND(P249&gt;1,P249&lt;=2),"Fair")</f>
        <v>Good</v>
      </c>
      <c r="R249" s="63">
        <f t="shared" si="21"/>
        <v>0.27300000000000002</v>
      </c>
    </row>
    <row r="250" spans="1:19" ht="11.25" customHeight="1" x14ac:dyDescent="0.2">
      <c r="A250" s="48" t="str">
        <f t="shared" si="18"/>
        <v>2019</v>
      </c>
      <c r="B250" s="48" t="str">
        <f t="shared" si="23"/>
        <v>19 Spr</v>
      </c>
      <c r="C250" s="55" t="s">
        <v>119</v>
      </c>
      <c r="D250" s="56" t="s">
        <v>167</v>
      </c>
      <c r="E250" s="56" t="str">
        <f t="shared" si="19"/>
        <v>HSA 6187
Mgt HR Hlth Prof 2019</v>
      </c>
      <c r="F250" s="66" t="s">
        <v>120</v>
      </c>
      <c r="G250" s="58">
        <v>19</v>
      </c>
      <c r="H250" s="59">
        <v>7</v>
      </c>
      <c r="I250" s="67" t="s">
        <v>111</v>
      </c>
      <c r="J250" s="61" t="s">
        <v>90</v>
      </c>
      <c r="K250" s="62">
        <v>0.57099999999999995</v>
      </c>
      <c r="L250" s="62">
        <v>0.28599999999999998</v>
      </c>
      <c r="M250" s="62">
        <v>0</v>
      </c>
      <c r="N250" s="62">
        <v>0.14299999999999999</v>
      </c>
      <c r="O250" s="62">
        <v>0</v>
      </c>
      <c r="P250" s="72">
        <f t="shared" si="20"/>
        <v>4.2849999999999993</v>
      </c>
      <c r="Q250" s="88" t="str" cm="1">
        <f t="array" ref="Q250">_xlfn.IFS(P250&gt;4,"Excelent",AND(P250&gt;3,P250&lt;=4),"Very Good",AND(P250&gt;2,P250&lt;=3),"Good",AND(P250&gt;1,P250&lt;=2),"Fair")</f>
        <v>Excelent</v>
      </c>
      <c r="R250" s="63">
        <f t="shared" si="21"/>
        <v>0.85699999999999998</v>
      </c>
    </row>
    <row r="251" spans="1:19" ht="11.25" customHeight="1" x14ac:dyDescent="0.2">
      <c r="A251" s="48" t="str">
        <f t="shared" si="18"/>
        <v>2019</v>
      </c>
      <c r="B251" s="48" t="str">
        <f t="shared" si="23"/>
        <v>19 Spr</v>
      </c>
      <c r="C251" s="55" t="s">
        <v>119</v>
      </c>
      <c r="D251" s="56" t="s">
        <v>167</v>
      </c>
      <c r="E251" s="56" t="str">
        <f t="shared" si="19"/>
        <v>HSA 6187
Mgt HR Hlth Prof 2019</v>
      </c>
      <c r="F251" s="66" t="s">
        <v>120</v>
      </c>
      <c r="G251" s="58">
        <v>19</v>
      </c>
      <c r="H251" s="59">
        <v>7</v>
      </c>
      <c r="I251" s="67" t="s">
        <v>111</v>
      </c>
      <c r="J251" s="61" t="s">
        <v>91</v>
      </c>
      <c r="K251" s="62">
        <v>0.71399999999999997</v>
      </c>
      <c r="L251" s="62">
        <v>0.14299999999999999</v>
      </c>
      <c r="M251" s="62">
        <v>0</v>
      </c>
      <c r="N251" s="62">
        <v>0.14299999999999999</v>
      </c>
      <c r="O251" s="62">
        <v>0</v>
      </c>
      <c r="P251" s="72">
        <f t="shared" si="20"/>
        <v>4.427999999999999</v>
      </c>
      <c r="Q251" s="88" t="str" cm="1">
        <f t="array" ref="Q251">_xlfn.IFS(P251&gt;4,"Excelent",AND(P251&gt;3,P251&lt;=4),"Very Good",AND(P251&gt;2,P251&lt;=3),"Good",AND(P251&gt;1,P251&lt;=2),"Fair")</f>
        <v>Excelent</v>
      </c>
      <c r="R251" s="63">
        <f t="shared" si="21"/>
        <v>0.85699999999999998</v>
      </c>
    </row>
    <row r="252" spans="1:19" ht="11.25" customHeight="1" x14ac:dyDescent="0.2">
      <c r="A252" s="48" t="str">
        <f t="shared" si="18"/>
        <v>2019</v>
      </c>
      <c r="B252" s="48" t="str">
        <f t="shared" si="23"/>
        <v>19 Spr</v>
      </c>
      <c r="C252" s="55" t="s">
        <v>119</v>
      </c>
      <c r="D252" s="56" t="s">
        <v>167</v>
      </c>
      <c r="E252" s="56" t="str">
        <f t="shared" si="19"/>
        <v>HSA 6187
Mgt HR Hlth Prof 2019</v>
      </c>
      <c r="F252" s="66" t="s">
        <v>120</v>
      </c>
      <c r="G252" s="58">
        <v>19</v>
      </c>
      <c r="H252" s="59">
        <v>7</v>
      </c>
      <c r="I252" s="67" t="s">
        <v>111</v>
      </c>
      <c r="J252" s="61" t="s">
        <v>92</v>
      </c>
      <c r="K252" s="62">
        <v>0.57099999999999995</v>
      </c>
      <c r="L252" s="62">
        <v>0.14299999999999999</v>
      </c>
      <c r="M252" s="62">
        <v>0.14299999999999999</v>
      </c>
      <c r="N252" s="62">
        <v>0.14299999999999999</v>
      </c>
      <c r="O252" s="62">
        <v>0</v>
      </c>
      <c r="P252" s="72">
        <f t="shared" si="20"/>
        <v>4.1419999999999995</v>
      </c>
      <c r="Q252" s="88" t="str" cm="1">
        <f t="array" ref="Q252">_xlfn.IFS(P252&gt;4,"Excelent",AND(P252&gt;3,P252&lt;=4),"Very Good",AND(P252&gt;2,P252&lt;=3),"Good",AND(P252&gt;1,P252&lt;=2),"Fair")</f>
        <v>Excelent</v>
      </c>
      <c r="R252" s="63">
        <f t="shared" si="21"/>
        <v>0.71399999999999997</v>
      </c>
    </row>
    <row r="253" spans="1:19" ht="11.25" customHeight="1" x14ac:dyDescent="0.2">
      <c r="A253" s="48" t="str">
        <f t="shared" si="18"/>
        <v>2019</v>
      </c>
      <c r="B253" s="48" t="str">
        <f t="shared" si="23"/>
        <v>19 Spr</v>
      </c>
      <c r="C253" s="55" t="s">
        <v>119</v>
      </c>
      <c r="D253" s="56" t="s">
        <v>167</v>
      </c>
      <c r="E253" s="56" t="str">
        <f t="shared" si="19"/>
        <v>HSA 6187
Mgt HR Hlth Prof 2019</v>
      </c>
      <c r="F253" s="66" t="s">
        <v>120</v>
      </c>
      <c r="G253" s="58">
        <v>19</v>
      </c>
      <c r="H253" s="59">
        <v>7</v>
      </c>
      <c r="I253" s="67" t="s">
        <v>111</v>
      </c>
      <c r="J253" s="61" t="s">
        <v>93</v>
      </c>
      <c r="K253" s="62">
        <v>0.57099999999999995</v>
      </c>
      <c r="L253" s="62">
        <v>0.14299999999999999</v>
      </c>
      <c r="M253" s="62">
        <v>0.14299999999999999</v>
      </c>
      <c r="N253" s="62">
        <v>0.14299999999999999</v>
      </c>
      <c r="O253" s="62">
        <v>0</v>
      </c>
      <c r="P253" s="72">
        <f t="shared" si="20"/>
        <v>4.1419999999999995</v>
      </c>
      <c r="Q253" s="88" t="str" cm="1">
        <f t="array" ref="Q253">_xlfn.IFS(P253&gt;4,"Excelent",AND(P253&gt;3,P253&lt;=4),"Very Good",AND(P253&gt;2,P253&lt;=3),"Good",AND(P253&gt;1,P253&lt;=2),"Fair")</f>
        <v>Excelent</v>
      </c>
      <c r="R253" s="63">
        <f t="shared" si="21"/>
        <v>0.71399999999999997</v>
      </c>
    </row>
    <row r="254" spans="1:19" ht="11.25" customHeight="1" x14ac:dyDescent="0.2">
      <c r="A254" s="48" t="str">
        <f t="shared" si="18"/>
        <v>2019</v>
      </c>
      <c r="B254" s="48" t="str">
        <f t="shared" si="23"/>
        <v>19 Spr</v>
      </c>
      <c r="C254" s="55" t="s">
        <v>119</v>
      </c>
      <c r="D254" s="56" t="s">
        <v>167</v>
      </c>
      <c r="E254" s="56" t="str">
        <f t="shared" si="19"/>
        <v>HSA 6187
Mgt HR Hlth Prof 2019</v>
      </c>
      <c r="F254" s="66" t="s">
        <v>120</v>
      </c>
      <c r="G254" s="58">
        <v>19</v>
      </c>
      <c r="H254" s="59">
        <v>7</v>
      </c>
      <c r="I254" s="67" t="s">
        <v>111</v>
      </c>
      <c r="J254" s="61" t="s">
        <v>94</v>
      </c>
      <c r="K254" s="62">
        <v>0.57099999999999995</v>
      </c>
      <c r="L254" s="62">
        <v>0.14299999999999999</v>
      </c>
      <c r="M254" s="62">
        <v>0.14299999999999999</v>
      </c>
      <c r="N254" s="62">
        <v>0.14299999999999999</v>
      </c>
      <c r="O254" s="62">
        <v>0</v>
      </c>
      <c r="P254" s="72">
        <f t="shared" si="20"/>
        <v>4.1419999999999995</v>
      </c>
      <c r="Q254" s="88" t="str" cm="1">
        <f t="array" ref="Q254">_xlfn.IFS(P254&gt;4,"Excelent",AND(P254&gt;3,P254&lt;=4),"Very Good",AND(P254&gt;2,P254&lt;=3),"Good",AND(P254&gt;1,P254&lt;=2),"Fair")</f>
        <v>Excelent</v>
      </c>
      <c r="R254" s="63">
        <f t="shared" si="21"/>
        <v>0.71399999999999997</v>
      </c>
    </row>
    <row r="255" spans="1:19" ht="11.25" customHeight="1" x14ac:dyDescent="0.2">
      <c r="A255" s="48" t="str">
        <f t="shared" si="18"/>
        <v>2019</v>
      </c>
      <c r="B255" s="48" t="str">
        <f t="shared" si="23"/>
        <v>19 Spr</v>
      </c>
      <c r="C255" s="55" t="s">
        <v>119</v>
      </c>
      <c r="D255" s="56" t="s">
        <v>167</v>
      </c>
      <c r="E255" s="56" t="str">
        <f t="shared" si="19"/>
        <v>HSA 6187
Mgt HR Hlth Prof 2019</v>
      </c>
      <c r="F255" s="66" t="s">
        <v>120</v>
      </c>
      <c r="G255" s="58">
        <v>19</v>
      </c>
      <c r="H255" s="59">
        <v>7</v>
      </c>
      <c r="I255" s="67" t="s">
        <v>111</v>
      </c>
      <c r="J255" s="61" t="s">
        <v>95</v>
      </c>
      <c r="K255" s="62">
        <v>0.57099999999999995</v>
      </c>
      <c r="L255" s="62">
        <v>0.14299999999999999</v>
      </c>
      <c r="M255" s="62">
        <v>0.14299999999999999</v>
      </c>
      <c r="N255" s="62">
        <v>0.14299999999999999</v>
      </c>
      <c r="O255" s="62">
        <v>0</v>
      </c>
      <c r="P255" s="72">
        <f t="shared" si="20"/>
        <v>4.1419999999999995</v>
      </c>
      <c r="Q255" s="88" t="str" cm="1">
        <f t="array" ref="Q255">_xlfn.IFS(P255&gt;4,"Excelent",AND(P255&gt;3,P255&lt;=4),"Very Good",AND(P255&gt;2,P255&lt;=3),"Good",AND(P255&gt;1,P255&lt;=2),"Fair")</f>
        <v>Excelent</v>
      </c>
      <c r="R255" s="63">
        <f t="shared" si="21"/>
        <v>0.71399999999999997</v>
      </c>
    </row>
    <row r="256" spans="1:19" ht="11.25" customHeight="1" x14ac:dyDescent="0.2">
      <c r="A256" s="48" t="str">
        <f t="shared" si="18"/>
        <v>2019</v>
      </c>
      <c r="B256" s="48" t="str">
        <f t="shared" si="23"/>
        <v>19 Spr</v>
      </c>
      <c r="C256" s="55" t="s">
        <v>119</v>
      </c>
      <c r="D256" s="56" t="s">
        <v>167</v>
      </c>
      <c r="E256" s="56" t="str">
        <f t="shared" si="19"/>
        <v>HSA 6187
Mgt HR Hlth Prof 2019</v>
      </c>
      <c r="F256" s="66" t="s">
        <v>120</v>
      </c>
      <c r="G256" s="58">
        <v>19</v>
      </c>
      <c r="H256" s="59">
        <v>7</v>
      </c>
      <c r="I256" s="67" t="s">
        <v>111</v>
      </c>
      <c r="J256" s="61" t="s">
        <v>96</v>
      </c>
      <c r="K256" s="62">
        <v>0.57099999999999995</v>
      </c>
      <c r="L256" s="62">
        <v>0.14299999999999999</v>
      </c>
      <c r="M256" s="62">
        <v>0.14299999999999999</v>
      </c>
      <c r="N256" s="62">
        <v>0.14299999999999999</v>
      </c>
      <c r="O256" s="62">
        <v>0</v>
      </c>
      <c r="P256" s="72">
        <f t="shared" si="20"/>
        <v>4.1419999999999995</v>
      </c>
      <c r="Q256" s="88" t="str" cm="1">
        <f t="array" ref="Q256">_xlfn.IFS(P256&gt;4,"Excelent",AND(P256&gt;3,P256&lt;=4),"Very Good",AND(P256&gt;2,P256&lt;=3),"Good",AND(P256&gt;1,P256&lt;=2),"Fair")</f>
        <v>Excelent</v>
      </c>
      <c r="R256" s="63">
        <f t="shared" si="21"/>
        <v>0.71399999999999997</v>
      </c>
    </row>
    <row r="257" spans="1:18" ht="11.25" customHeight="1" x14ac:dyDescent="0.2">
      <c r="A257" s="48" t="str">
        <f t="shared" si="18"/>
        <v>2019</v>
      </c>
      <c r="B257" s="48" t="str">
        <f t="shared" si="23"/>
        <v>19 Spr</v>
      </c>
      <c r="C257" s="55" t="s">
        <v>119</v>
      </c>
      <c r="D257" s="56" t="s">
        <v>167</v>
      </c>
      <c r="E257" s="56" t="str">
        <f t="shared" si="19"/>
        <v>HSA 6717
Adv Hlth Mgt Res Sem 2019</v>
      </c>
      <c r="F257" s="66" t="s">
        <v>120</v>
      </c>
      <c r="G257" s="58">
        <v>19</v>
      </c>
      <c r="H257" s="59">
        <v>7</v>
      </c>
      <c r="I257" s="67" t="s">
        <v>111</v>
      </c>
      <c r="J257" s="61" t="s">
        <v>97</v>
      </c>
      <c r="K257" s="65">
        <v>0.57099999999999995</v>
      </c>
      <c r="L257" s="65">
        <v>0.28599999999999998</v>
      </c>
      <c r="M257" s="65">
        <v>0</v>
      </c>
      <c r="N257" s="65">
        <v>0</v>
      </c>
      <c r="O257" s="65">
        <v>0.14299999999999999</v>
      </c>
      <c r="P257" s="72">
        <f t="shared" si="20"/>
        <v>4.1419999999999995</v>
      </c>
      <c r="Q257" s="88" t="str" cm="1">
        <f t="array" ref="Q257">_xlfn.IFS(P257&gt;4,"Excelent",AND(P257&gt;3,P257&lt;=4),"Very Good",AND(P257&gt;2,P257&lt;=3),"Good",AND(P257&gt;1,P257&lt;=2),"Fair")</f>
        <v>Excelent</v>
      </c>
      <c r="R257" s="63">
        <f t="shared" si="21"/>
        <v>0.85699999999999998</v>
      </c>
    </row>
    <row r="258" spans="1:18" ht="11.25" customHeight="1" x14ac:dyDescent="0.2">
      <c r="A258" s="48" t="str">
        <f t="shared" si="18"/>
        <v>2019</v>
      </c>
      <c r="B258" s="48" t="str">
        <f t="shared" si="23"/>
        <v>19 Spr</v>
      </c>
      <c r="C258" s="55" t="s">
        <v>119</v>
      </c>
      <c r="D258" s="56" t="s">
        <v>163</v>
      </c>
      <c r="E258" s="56" t="str">
        <f t="shared" si="19"/>
        <v>HSA 6717
Adv Hlth Mgt Res Sem 2019</v>
      </c>
      <c r="F258" s="57" t="s">
        <v>160</v>
      </c>
      <c r="G258" s="58">
        <v>23</v>
      </c>
      <c r="H258" s="59">
        <v>15</v>
      </c>
      <c r="I258" s="60" t="s">
        <v>109</v>
      </c>
      <c r="J258" s="61" t="s">
        <v>90</v>
      </c>
      <c r="K258" s="62">
        <v>0</v>
      </c>
      <c r="L258" s="62">
        <v>0.13300000000000001</v>
      </c>
      <c r="M258" s="62">
        <v>6.7000000000000004E-2</v>
      </c>
      <c r="N258" s="62">
        <v>0.4</v>
      </c>
      <c r="O258" s="62">
        <v>0.4</v>
      </c>
      <c r="P258" s="72">
        <f t="shared" si="20"/>
        <v>1.9330000000000003</v>
      </c>
      <c r="Q258" s="88" t="str" cm="1">
        <f t="array" ref="Q258">_xlfn.IFS(P258&gt;4,"Excelent",AND(P258&gt;3,P258&lt;=4),"Very Good",AND(P258&gt;2,P258&lt;=3),"Good",AND(P258&gt;1,P258&lt;=2),"Fair")</f>
        <v>Fair</v>
      </c>
      <c r="R258" s="63">
        <f t="shared" si="21"/>
        <v>0.13300000000000001</v>
      </c>
    </row>
    <row r="259" spans="1:18" ht="11.25" customHeight="1" x14ac:dyDescent="0.2">
      <c r="A259" s="48" t="str">
        <f t="shared" ref="A259:A321" si="24">RIGHT(C259,4)</f>
        <v>2019</v>
      </c>
      <c r="B259" s="48" t="str">
        <f t="shared" si="23"/>
        <v>19 Spr</v>
      </c>
      <c r="C259" s="55" t="s">
        <v>119</v>
      </c>
      <c r="D259" s="56" t="s">
        <v>163</v>
      </c>
      <c r="E259" s="56" t="str">
        <f t="shared" ref="E259:E321" si="25">_xlfn.CONCAT(D260, " ", A259)</f>
        <v>HSA 6717
Adv Hlth Mgt Res Sem 2019</v>
      </c>
      <c r="F259" s="57" t="s">
        <v>160</v>
      </c>
      <c r="G259" s="58">
        <v>23</v>
      </c>
      <c r="H259" s="59">
        <v>15</v>
      </c>
      <c r="I259" s="60" t="s">
        <v>109</v>
      </c>
      <c r="J259" s="61" t="s">
        <v>91</v>
      </c>
      <c r="K259" s="62">
        <v>0</v>
      </c>
      <c r="L259" s="62">
        <v>6.7000000000000004E-2</v>
      </c>
      <c r="M259" s="62">
        <v>0.2</v>
      </c>
      <c r="N259" s="62">
        <v>0.4</v>
      </c>
      <c r="O259" s="62">
        <v>0.33300000000000002</v>
      </c>
      <c r="P259" s="72">
        <f t="shared" ref="P259:P321" si="26">(5*K259)+(4*L259)+(3*M259)+(2*N259)+O259</f>
        <v>2.0010000000000003</v>
      </c>
      <c r="Q259" s="88" t="str" cm="1">
        <f t="array" ref="Q259">_xlfn.IFS(P259&gt;4,"Excelent",AND(P259&gt;3,P259&lt;=4),"Very Good",AND(P259&gt;2,P259&lt;=3),"Good",AND(P259&gt;1,P259&lt;=2),"Fair")</f>
        <v>Good</v>
      </c>
      <c r="R259" s="63">
        <f t="shared" ref="R259:R321" si="27">K259+L259</f>
        <v>6.7000000000000004E-2</v>
      </c>
    </row>
    <row r="260" spans="1:18" ht="11.25" customHeight="1" x14ac:dyDescent="0.2">
      <c r="A260" s="48" t="str">
        <f t="shared" si="24"/>
        <v>2019</v>
      </c>
      <c r="B260" s="48" t="str">
        <f t="shared" si="23"/>
        <v>19 Spr</v>
      </c>
      <c r="C260" s="55" t="s">
        <v>119</v>
      </c>
      <c r="D260" s="56" t="s">
        <v>163</v>
      </c>
      <c r="E260" s="56" t="str">
        <f t="shared" si="25"/>
        <v>HSA 6717
Adv Hlth Mgt Res Sem 2019</v>
      </c>
      <c r="F260" s="57" t="s">
        <v>160</v>
      </c>
      <c r="G260" s="58">
        <v>23</v>
      </c>
      <c r="H260" s="59">
        <v>15</v>
      </c>
      <c r="I260" s="60" t="s">
        <v>109</v>
      </c>
      <c r="J260" s="61" t="s">
        <v>92</v>
      </c>
      <c r="K260" s="62">
        <v>0</v>
      </c>
      <c r="L260" s="62">
        <v>0</v>
      </c>
      <c r="M260" s="62">
        <v>0.13300000000000001</v>
      </c>
      <c r="N260" s="62">
        <v>0.26700000000000002</v>
      </c>
      <c r="O260" s="62">
        <v>0.6</v>
      </c>
      <c r="P260" s="72">
        <f t="shared" si="26"/>
        <v>1.5329999999999999</v>
      </c>
      <c r="Q260" s="88" t="str" cm="1">
        <f t="array" ref="Q260">_xlfn.IFS(P260&gt;4,"Excelent",AND(P260&gt;3,P260&lt;=4),"Very Good",AND(P260&gt;2,P260&lt;=3),"Good",AND(P260&gt;1,P260&lt;=2),"Fair")</f>
        <v>Fair</v>
      </c>
      <c r="R260" s="63">
        <f t="shared" si="27"/>
        <v>0</v>
      </c>
    </row>
    <row r="261" spans="1:18" ht="11.25" customHeight="1" x14ac:dyDescent="0.2">
      <c r="A261" s="48" t="str">
        <f t="shared" si="24"/>
        <v>2019</v>
      </c>
      <c r="B261" s="48" t="str">
        <f t="shared" si="23"/>
        <v>19 Spr</v>
      </c>
      <c r="C261" s="55" t="s">
        <v>119</v>
      </c>
      <c r="D261" s="56" t="s">
        <v>163</v>
      </c>
      <c r="E261" s="56" t="str">
        <f t="shared" si="25"/>
        <v>HSA 6717
Adv Hlth Mgt Res Sem 2019</v>
      </c>
      <c r="F261" s="57" t="s">
        <v>160</v>
      </c>
      <c r="G261" s="58">
        <v>23</v>
      </c>
      <c r="H261" s="59">
        <v>15</v>
      </c>
      <c r="I261" s="60" t="s">
        <v>109</v>
      </c>
      <c r="J261" s="61" t="s">
        <v>93</v>
      </c>
      <c r="K261" s="62">
        <v>0</v>
      </c>
      <c r="L261" s="62">
        <v>0</v>
      </c>
      <c r="M261" s="62">
        <v>0.4</v>
      </c>
      <c r="N261" s="62">
        <v>0.13300000000000001</v>
      </c>
      <c r="O261" s="62">
        <v>0.4</v>
      </c>
      <c r="P261" s="72">
        <f t="shared" si="26"/>
        <v>1.8660000000000001</v>
      </c>
      <c r="Q261" s="88" t="str" cm="1">
        <f t="array" ref="Q261">_xlfn.IFS(P261&gt;4,"Excelent",AND(P261&gt;3,P261&lt;=4),"Very Good",AND(P261&gt;2,P261&lt;=3),"Good",AND(P261&gt;1,P261&lt;=2),"Fair")</f>
        <v>Fair</v>
      </c>
      <c r="R261" s="63">
        <f t="shared" si="27"/>
        <v>0</v>
      </c>
    </row>
    <row r="262" spans="1:18" ht="11.25" customHeight="1" x14ac:dyDescent="0.2">
      <c r="A262" s="48" t="str">
        <f t="shared" si="24"/>
        <v>2019</v>
      </c>
      <c r="B262" s="48" t="str">
        <f t="shared" si="23"/>
        <v>19 Spr</v>
      </c>
      <c r="C262" s="55" t="s">
        <v>119</v>
      </c>
      <c r="D262" s="56" t="s">
        <v>163</v>
      </c>
      <c r="E262" s="56" t="str">
        <f t="shared" si="25"/>
        <v>HSA 6717
Adv Hlth Mgt Res Sem 2019</v>
      </c>
      <c r="F262" s="57" t="s">
        <v>160</v>
      </c>
      <c r="G262" s="58">
        <v>23</v>
      </c>
      <c r="H262" s="59">
        <v>15</v>
      </c>
      <c r="I262" s="60" t="s">
        <v>109</v>
      </c>
      <c r="J262" s="61" t="s">
        <v>94</v>
      </c>
      <c r="K262" s="62">
        <v>0</v>
      </c>
      <c r="L262" s="62">
        <v>6.7000000000000004E-2</v>
      </c>
      <c r="M262" s="62">
        <v>0.26700000000000002</v>
      </c>
      <c r="N262" s="62">
        <v>0.26700000000000002</v>
      </c>
      <c r="O262" s="62">
        <v>0.33300000000000002</v>
      </c>
      <c r="P262" s="72">
        <f t="shared" si="26"/>
        <v>1.9359999999999999</v>
      </c>
      <c r="Q262" s="88" t="str" cm="1">
        <f t="array" ref="Q262">_xlfn.IFS(P262&gt;4,"Excelent",AND(P262&gt;3,P262&lt;=4),"Very Good",AND(P262&gt;2,P262&lt;=3),"Good",AND(P262&gt;1,P262&lt;=2),"Fair")</f>
        <v>Fair</v>
      </c>
      <c r="R262" s="63">
        <f t="shared" si="27"/>
        <v>6.7000000000000004E-2</v>
      </c>
    </row>
    <row r="263" spans="1:18" ht="11.25" customHeight="1" x14ac:dyDescent="0.2">
      <c r="A263" s="48" t="str">
        <f t="shared" si="24"/>
        <v>2019</v>
      </c>
      <c r="B263" s="48" t="str">
        <f t="shared" si="23"/>
        <v>19 Spr</v>
      </c>
      <c r="C263" s="55" t="s">
        <v>119</v>
      </c>
      <c r="D263" s="56" t="s">
        <v>163</v>
      </c>
      <c r="E263" s="56" t="str">
        <f t="shared" si="25"/>
        <v>HSA 6717
Adv Hlth Mgt Res Sem 2019</v>
      </c>
      <c r="F263" s="57" t="s">
        <v>160</v>
      </c>
      <c r="G263" s="58">
        <v>23</v>
      </c>
      <c r="H263" s="59">
        <v>15</v>
      </c>
      <c r="I263" s="60" t="s">
        <v>109</v>
      </c>
      <c r="J263" s="61" t="s">
        <v>95</v>
      </c>
      <c r="K263" s="62">
        <v>0.2</v>
      </c>
      <c r="L263" s="62">
        <v>6.7000000000000004E-2</v>
      </c>
      <c r="M263" s="62">
        <v>0.13300000000000001</v>
      </c>
      <c r="N263" s="62">
        <v>0.26700000000000002</v>
      </c>
      <c r="O263" s="62">
        <v>0.33300000000000002</v>
      </c>
      <c r="P263" s="72">
        <f t="shared" si="26"/>
        <v>2.5340000000000003</v>
      </c>
      <c r="Q263" s="88" t="str" cm="1">
        <f t="array" ref="Q263">_xlfn.IFS(P263&gt;4,"Excelent",AND(P263&gt;3,P263&lt;=4),"Very Good",AND(P263&gt;2,P263&lt;=3),"Good",AND(P263&gt;1,P263&lt;=2),"Fair")</f>
        <v>Good</v>
      </c>
      <c r="R263" s="63">
        <f t="shared" si="27"/>
        <v>0.26700000000000002</v>
      </c>
    </row>
    <row r="264" spans="1:18" ht="11.25" customHeight="1" x14ac:dyDescent="0.2">
      <c r="A264" s="48" t="str">
        <f t="shared" si="24"/>
        <v>2019</v>
      </c>
      <c r="B264" s="48" t="str">
        <f t="shared" si="23"/>
        <v>19 Spr</v>
      </c>
      <c r="C264" s="55" t="s">
        <v>119</v>
      </c>
      <c r="D264" s="56" t="s">
        <v>163</v>
      </c>
      <c r="E264" s="56" t="str">
        <f t="shared" si="25"/>
        <v>HSA 6717
Adv Hlth Mgt Res Sem 2019</v>
      </c>
      <c r="F264" s="57" t="s">
        <v>160</v>
      </c>
      <c r="G264" s="58">
        <v>23</v>
      </c>
      <c r="H264" s="59">
        <v>15</v>
      </c>
      <c r="I264" s="60" t="s">
        <v>109</v>
      </c>
      <c r="J264" s="61" t="s">
        <v>96</v>
      </c>
      <c r="K264" s="62">
        <v>0.2</v>
      </c>
      <c r="L264" s="62">
        <v>0.26700000000000002</v>
      </c>
      <c r="M264" s="62">
        <v>0.13300000000000001</v>
      </c>
      <c r="N264" s="62">
        <v>0.26700000000000002</v>
      </c>
      <c r="O264" s="62">
        <v>0.13300000000000001</v>
      </c>
      <c r="P264" s="72">
        <f t="shared" si="26"/>
        <v>3.1340000000000003</v>
      </c>
      <c r="Q264" s="88" t="str" cm="1">
        <f t="array" ref="Q264">_xlfn.IFS(P264&gt;4,"Excelent",AND(P264&gt;3,P264&lt;=4),"Very Good",AND(P264&gt;2,P264&lt;=3),"Good",AND(P264&gt;1,P264&lt;=2),"Fair")</f>
        <v>Very Good</v>
      </c>
      <c r="R264" s="63">
        <f t="shared" si="27"/>
        <v>0.46700000000000003</v>
      </c>
    </row>
    <row r="265" spans="1:18" ht="11.25" customHeight="1" x14ac:dyDescent="0.2">
      <c r="A265" s="48" t="str">
        <f t="shared" si="24"/>
        <v>2019</v>
      </c>
      <c r="B265" s="48" t="str">
        <f t="shared" si="23"/>
        <v>19 Spr</v>
      </c>
      <c r="C265" s="55" t="s">
        <v>119</v>
      </c>
      <c r="D265" s="56" t="s">
        <v>163</v>
      </c>
      <c r="E265" s="56" t="str">
        <f t="shared" si="25"/>
        <v>HSA 6717
Adv Hlth Mgt Res Sem 2019</v>
      </c>
      <c r="F265" s="57" t="s">
        <v>160</v>
      </c>
      <c r="G265" s="58">
        <v>23</v>
      </c>
      <c r="H265" s="59">
        <v>15</v>
      </c>
      <c r="I265" s="60" t="s">
        <v>109</v>
      </c>
      <c r="J265" s="61" t="s">
        <v>97</v>
      </c>
      <c r="K265" s="65">
        <v>0</v>
      </c>
      <c r="L265" s="65">
        <v>0.2</v>
      </c>
      <c r="M265" s="65">
        <v>0</v>
      </c>
      <c r="N265" s="65">
        <v>0.4</v>
      </c>
      <c r="O265" s="65">
        <v>0.4</v>
      </c>
      <c r="P265" s="72">
        <f t="shared" si="26"/>
        <v>2</v>
      </c>
      <c r="Q265" s="88" t="str" cm="1">
        <f t="array" ref="Q265">_xlfn.IFS(P265&gt;4,"Excelent",AND(P265&gt;3,P265&lt;=4),"Very Good",AND(P265&gt;2,P265&lt;=3),"Good",AND(P265&gt;1,P265&lt;=2),"Fair")</f>
        <v>Fair</v>
      </c>
      <c r="R265" s="63">
        <f t="shared" si="27"/>
        <v>0.2</v>
      </c>
    </row>
    <row r="266" spans="1:18" ht="11.25" customHeight="1" x14ac:dyDescent="0.2">
      <c r="A266" s="48" t="str">
        <f t="shared" si="24"/>
        <v>2019</v>
      </c>
      <c r="B266" s="48" t="str">
        <f t="shared" si="23"/>
        <v>19 Spr</v>
      </c>
      <c r="C266" s="55" t="s">
        <v>119</v>
      </c>
      <c r="D266" s="56" t="s">
        <v>163</v>
      </c>
      <c r="E266" s="56" t="str">
        <f t="shared" si="25"/>
        <v>HSA 6717
Adv Hlth Mgt Res Sem 2019</v>
      </c>
      <c r="F266" s="57" t="s">
        <v>144</v>
      </c>
      <c r="G266" s="58">
        <v>18</v>
      </c>
      <c r="H266" s="59">
        <v>7</v>
      </c>
      <c r="I266" s="60" t="s">
        <v>111</v>
      </c>
      <c r="J266" s="61" t="s">
        <v>90</v>
      </c>
      <c r="K266" s="62">
        <v>0.57099999999999995</v>
      </c>
      <c r="L266" s="62">
        <v>0.14299999999999999</v>
      </c>
      <c r="M266" s="62">
        <v>0</v>
      </c>
      <c r="N266" s="62">
        <v>0.28599999999999998</v>
      </c>
      <c r="O266" s="62">
        <v>0</v>
      </c>
      <c r="P266" s="72">
        <f t="shared" si="26"/>
        <v>3.9989999999999997</v>
      </c>
      <c r="Q266" s="88" t="str" cm="1">
        <f t="array" ref="Q266">_xlfn.IFS(P266&gt;4,"Excelent",AND(P266&gt;3,P266&lt;=4),"Very Good",AND(P266&gt;2,P266&lt;=3),"Good",AND(P266&gt;1,P266&lt;=2),"Fair")</f>
        <v>Very Good</v>
      </c>
      <c r="R266" s="63">
        <f t="shared" si="27"/>
        <v>0.71399999999999997</v>
      </c>
    </row>
    <row r="267" spans="1:18" ht="11.25" customHeight="1" x14ac:dyDescent="0.2">
      <c r="A267" s="48" t="str">
        <f t="shared" si="24"/>
        <v>2019</v>
      </c>
      <c r="B267" s="48" t="str">
        <f t="shared" si="23"/>
        <v>19 Spr</v>
      </c>
      <c r="C267" s="55" t="s">
        <v>119</v>
      </c>
      <c r="D267" s="56" t="s">
        <v>163</v>
      </c>
      <c r="E267" s="56" t="str">
        <f t="shared" si="25"/>
        <v>HSA 6717
Adv Hlth Mgt Res Sem 2019</v>
      </c>
      <c r="F267" s="57" t="s">
        <v>144</v>
      </c>
      <c r="G267" s="58">
        <v>18</v>
      </c>
      <c r="H267" s="59">
        <v>7</v>
      </c>
      <c r="I267" s="60" t="s">
        <v>111</v>
      </c>
      <c r="J267" s="61" t="s">
        <v>91</v>
      </c>
      <c r="K267" s="62">
        <v>0.42899999999999999</v>
      </c>
      <c r="L267" s="62">
        <v>0.42899999999999999</v>
      </c>
      <c r="M267" s="62">
        <v>0</v>
      </c>
      <c r="N267" s="62">
        <v>0.14299999999999999</v>
      </c>
      <c r="O267" s="62">
        <v>0</v>
      </c>
      <c r="P267" s="72">
        <f t="shared" si="26"/>
        <v>4.1469999999999994</v>
      </c>
      <c r="Q267" s="88" t="str" cm="1">
        <f t="array" ref="Q267">_xlfn.IFS(P267&gt;4,"Excelent",AND(P267&gt;3,P267&lt;=4),"Very Good",AND(P267&gt;2,P267&lt;=3),"Good",AND(P267&gt;1,P267&lt;=2),"Fair")</f>
        <v>Excelent</v>
      </c>
      <c r="R267" s="63">
        <f t="shared" si="27"/>
        <v>0.85799999999999998</v>
      </c>
    </row>
    <row r="268" spans="1:18" ht="11.25" customHeight="1" x14ac:dyDescent="0.2">
      <c r="A268" s="48" t="str">
        <f t="shared" si="24"/>
        <v>2019</v>
      </c>
      <c r="B268" s="48" t="str">
        <f t="shared" si="23"/>
        <v>19 Spr</v>
      </c>
      <c r="C268" s="55" t="s">
        <v>119</v>
      </c>
      <c r="D268" s="56" t="s">
        <v>163</v>
      </c>
      <c r="E268" s="56" t="str">
        <f t="shared" si="25"/>
        <v>HSA 6717
Adv Hlth Mgt Res Sem 2019</v>
      </c>
      <c r="F268" s="57" t="s">
        <v>144</v>
      </c>
      <c r="G268" s="58">
        <v>18</v>
      </c>
      <c r="H268" s="59">
        <v>7</v>
      </c>
      <c r="I268" s="60" t="s">
        <v>111</v>
      </c>
      <c r="J268" s="61" t="s">
        <v>92</v>
      </c>
      <c r="K268" s="62">
        <v>0.42899999999999999</v>
      </c>
      <c r="L268" s="62">
        <v>0.14299999999999999</v>
      </c>
      <c r="M268" s="62">
        <v>0.28599999999999998</v>
      </c>
      <c r="N268" s="62">
        <v>0</v>
      </c>
      <c r="O268" s="62">
        <v>0.14299999999999999</v>
      </c>
      <c r="P268" s="72">
        <f t="shared" si="26"/>
        <v>3.718</v>
      </c>
      <c r="Q268" s="88" t="str" cm="1">
        <f t="array" ref="Q268">_xlfn.IFS(P268&gt;4,"Excelent",AND(P268&gt;3,P268&lt;=4),"Very Good",AND(P268&gt;2,P268&lt;=3),"Good",AND(P268&gt;1,P268&lt;=2),"Fair")</f>
        <v>Very Good</v>
      </c>
      <c r="R268" s="63">
        <f t="shared" si="27"/>
        <v>0.57199999999999995</v>
      </c>
    </row>
    <row r="269" spans="1:18" ht="11.25" customHeight="1" x14ac:dyDescent="0.2">
      <c r="A269" s="48" t="str">
        <f t="shared" si="24"/>
        <v>2019</v>
      </c>
      <c r="B269" s="48" t="str">
        <f t="shared" si="23"/>
        <v>19 Spr</v>
      </c>
      <c r="C269" s="55" t="s">
        <v>119</v>
      </c>
      <c r="D269" s="56" t="s">
        <v>163</v>
      </c>
      <c r="E269" s="56" t="str">
        <f t="shared" si="25"/>
        <v>HSA 6717
Adv Hlth Mgt Res Sem 2019</v>
      </c>
      <c r="F269" s="57" t="s">
        <v>144</v>
      </c>
      <c r="G269" s="58">
        <v>18</v>
      </c>
      <c r="H269" s="59">
        <v>7</v>
      </c>
      <c r="I269" s="60" t="s">
        <v>111</v>
      </c>
      <c r="J269" s="61" t="s">
        <v>93</v>
      </c>
      <c r="K269" s="62">
        <v>0.42899999999999999</v>
      </c>
      <c r="L269" s="62">
        <v>0.14299999999999999</v>
      </c>
      <c r="M269" s="62">
        <v>0.28599999999999998</v>
      </c>
      <c r="N269" s="62">
        <v>0</v>
      </c>
      <c r="O269" s="62">
        <v>0.14299999999999999</v>
      </c>
      <c r="P269" s="72">
        <f t="shared" si="26"/>
        <v>3.718</v>
      </c>
      <c r="Q269" s="88" t="str" cm="1">
        <f t="array" ref="Q269">_xlfn.IFS(P269&gt;4,"Excelent",AND(P269&gt;3,P269&lt;=4),"Very Good",AND(P269&gt;2,P269&lt;=3),"Good",AND(P269&gt;1,P269&lt;=2),"Fair")</f>
        <v>Very Good</v>
      </c>
      <c r="R269" s="63">
        <f t="shared" si="27"/>
        <v>0.57199999999999995</v>
      </c>
    </row>
    <row r="270" spans="1:18" ht="11.25" customHeight="1" x14ac:dyDescent="0.2">
      <c r="A270" s="48" t="str">
        <f t="shared" si="24"/>
        <v>2019</v>
      </c>
      <c r="B270" s="48" t="str">
        <f t="shared" si="23"/>
        <v>19 Spr</v>
      </c>
      <c r="C270" s="55" t="s">
        <v>119</v>
      </c>
      <c r="D270" s="56" t="s">
        <v>163</v>
      </c>
      <c r="E270" s="56" t="str">
        <f t="shared" si="25"/>
        <v>HSA 6717
Adv Hlth Mgt Res Sem 2019</v>
      </c>
      <c r="F270" s="57" t="s">
        <v>144</v>
      </c>
      <c r="G270" s="58">
        <v>18</v>
      </c>
      <c r="H270" s="59">
        <v>7</v>
      </c>
      <c r="I270" s="60" t="s">
        <v>111</v>
      </c>
      <c r="J270" s="61" t="s">
        <v>94</v>
      </c>
      <c r="K270" s="62">
        <v>0.42899999999999999</v>
      </c>
      <c r="L270" s="62">
        <v>0.14299999999999999</v>
      </c>
      <c r="M270" s="62">
        <v>0.28599999999999998</v>
      </c>
      <c r="N270" s="62">
        <v>0</v>
      </c>
      <c r="O270" s="62">
        <v>0.14299999999999999</v>
      </c>
      <c r="P270" s="72">
        <f t="shared" si="26"/>
        <v>3.718</v>
      </c>
      <c r="Q270" s="88" t="str" cm="1">
        <f t="array" ref="Q270">_xlfn.IFS(P270&gt;4,"Excelent",AND(P270&gt;3,P270&lt;=4),"Very Good",AND(P270&gt;2,P270&lt;=3),"Good",AND(P270&gt;1,P270&lt;=2),"Fair")</f>
        <v>Very Good</v>
      </c>
      <c r="R270" s="63">
        <f t="shared" si="27"/>
        <v>0.57199999999999995</v>
      </c>
    </row>
    <row r="271" spans="1:18" ht="11.25" customHeight="1" x14ac:dyDescent="0.2">
      <c r="A271" s="48" t="str">
        <f t="shared" si="24"/>
        <v>2019</v>
      </c>
      <c r="B271" s="48" t="str">
        <f t="shared" si="23"/>
        <v>19 Spr</v>
      </c>
      <c r="C271" s="55" t="s">
        <v>119</v>
      </c>
      <c r="D271" s="56" t="s">
        <v>163</v>
      </c>
      <c r="E271" s="56" t="str">
        <f t="shared" si="25"/>
        <v>HSA 6717
Adv Hlth Mgt Res Sem 2019</v>
      </c>
      <c r="F271" s="57" t="s">
        <v>144</v>
      </c>
      <c r="G271" s="58">
        <v>18</v>
      </c>
      <c r="H271" s="59">
        <v>7</v>
      </c>
      <c r="I271" s="60" t="s">
        <v>111</v>
      </c>
      <c r="J271" s="61" t="s">
        <v>95</v>
      </c>
      <c r="K271" s="62">
        <v>0.42899999999999999</v>
      </c>
      <c r="L271" s="62">
        <v>0.28599999999999998</v>
      </c>
      <c r="M271" s="62">
        <v>0</v>
      </c>
      <c r="N271" s="62">
        <v>0.28599999999999998</v>
      </c>
      <c r="O271" s="62">
        <v>0</v>
      </c>
      <c r="P271" s="72">
        <f t="shared" si="26"/>
        <v>3.8609999999999998</v>
      </c>
      <c r="Q271" s="88" t="str" cm="1">
        <f t="array" ref="Q271">_xlfn.IFS(P271&gt;4,"Excelent",AND(P271&gt;3,P271&lt;=4),"Very Good",AND(P271&gt;2,P271&lt;=3),"Good",AND(P271&gt;1,P271&lt;=2),"Fair")</f>
        <v>Very Good</v>
      </c>
      <c r="R271" s="63">
        <f t="shared" si="27"/>
        <v>0.71499999999999997</v>
      </c>
    </row>
    <row r="272" spans="1:18" ht="11.25" customHeight="1" x14ac:dyDescent="0.2">
      <c r="A272" s="48" t="str">
        <f t="shared" si="24"/>
        <v>2019</v>
      </c>
      <c r="B272" s="48" t="str">
        <f t="shared" si="23"/>
        <v>19 Spr</v>
      </c>
      <c r="C272" s="55" t="s">
        <v>119</v>
      </c>
      <c r="D272" s="56" t="s">
        <v>163</v>
      </c>
      <c r="E272" s="56" t="str">
        <f t="shared" si="25"/>
        <v>HSA 6717
Adv Hlth Mgt Res Sem 2019</v>
      </c>
      <c r="F272" s="57" t="s">
        <v>144</v>
      </c>
      <c r="G272" s="58">
        <v>18</v>
      </c>
      <c r="H272" s="59">
        <v>7</v>
      </c>
      <c r="I272" s="60" t="s">
        <v>111</v>
      </c>
      <c r="J272" s="61" t="s">
        <v>96</v>
      </c>
      <c r="K272" s="62">
        <v>0.42899999999999999</v>
      </c>
      <c r="L272" s="62">
        <v>0.42899999999999999</v>
      </c>
      <c r="M272" s="62">
        <v>0</v>
      </c>
      <c r="N272" s="62">
        <v>0.14299999999999999</v>
      </c>
      <c r="O272" s="62">
        <v>0</v>
      </c>
      <c r="P272" s="72">
        <f t="shared" si="26"/>
        <v>4.1469999999999994</v>
      </c>
      <c r="Q272" s="88" t="str" cm="1">
        <f t="array" ref="Q272">_xlfn.IFS(P272&gt;4,"Excelent",AND(P272&gt;3,P272&lt;=4),"Very Good",AND(P272&gt;2,P272&lt;=3),"Good",AND(P272&gt;1,P272&lt;=2),"Fair")</f>
        <v>Excelent</v>
      </c>
      <c r="R272" s="63">
        <f t="shared" si="27"/>
        <v>0.85799999999999998</v>
      </c>
    </row>
    <row r="273" spans="1:18" ht="11.25" customHeight="1" x14ac:dyDescent="0.2">
      <c r="A273" s="48" t="str">
        <f t="shared" si="24"/>
        <v>2019</v>
      </c>
      <c r="B273" s="48" t="str">
        <f t="shared" si="23"/>
        <v>19 Spr</v>
      </c>
      <c r="C273" s="55" t="s">
        <v>119</v>
      </c>
      <c r="D273" s="56" t="s">
        <v>163</v>
      </c>
      <c r="E273" s="56" t="str">
        <f t="shared" si="25"/>
        <v>HSA 6930
Pro Seminar Hlth Mgt 2019</v>
      </c>
      <c r="F273" s="57" t="s">
        <v>144</v>
      </c>
      <c r="G273" s="58">
        <v>18</v>
      </c>
      <c r="H273" s="59">
        <v>7</v>
      </c>
      <c r="I273" s="60" t="s">
        <v>111</v>
      </c>
      <c r="J273" s="61" t="s">
        <v>97</v>
      </c>
      <c r="K273" s="65">
        <v>0.42899999999999999</v>
      </c>
      <c r="L273" s="65">
        <v>0.14299999999999999</v>
      </c>
      <c r="M273" s="65">
        <v>0.28599999999999998</v>
      </c>
      <c r="N273" s="65">
        <v>0</v>
      </c>
      <c r="O273" s="65">
        <v>0.14299999999999999</v>
      </c>
      <c r="P273" s="72">
        <f t="shared" si="26"/>
        <v>3.718</v>
      </c>
      <c r="Q273" s="88" t="str" cm="1">
        <f t="array" ref="Q273">_xlfn.IFS(P273&gt;4,"Excelent",AND(P273&gt;3,P273&lt;=4),"Very Good",AND(P273&gt;2,P273&lt;=3),"Good",AND(P273&gt;1,P273&lt;=2),"Fair")</f>
        <v>Very Good</v>
      </c>
      <c r="R273" s="63">
        <f t="shared" si="27"/>
        <v>0.57199999999999995</v>
      </c>
    </row>
    <row r="274" spans="1:18" ht="11.25" customHeight="1" x14ac:dyDescent="0.2">
      <c r="A274" s="48" t="str">
        <f t="shared" si="24"/>
        <v>2019</v>
      </c>
      <c r="B274" s="48" t="str">
        <f t="shared" si="23"/>
        <v>19 Spr</v>
      </c>
      <c r="C274" s="55" t="s">
        <v>119</v>
      </c>
      <c r="D274" s="56" t="s">
        <v>164</v>
      </c>
      <c r="E274" s="56" t="str">
        <f t="shared" si="25"/>
        <v>HSA 6930
Pro Seminar Hlth Mgt 2019</v>
      </c>
      <c r="F274" s="57" t="s">
        <v>161</v>
      </c>
      <c r="G274" s="58">
        <v>23</v>
      </c>
      <c r="H274" s="59">
        <v>14</v>
      </c>
      <c r="I274" s="60" t="s">
        <v>109</v>
      </c>
      <c r="J274" s="61" t="s">
        <v>90</v>
      </c>
      <c r="K274" s="62">
        <v>0</v>
      </c>
      <c r="L274" s="62">
        <v>0.14299999999999999</v>
      </c>
      <c r="M274" s="62">
        <v>0.214</v>
      </c>
      <c r="N274" s="62">
        <v>0.5</v>
      </c>
      <c r="O274" s="62">
        <v>0.14299999999999999</v>
      </c>
      <c r="P274" s="72">
        <f t="shared" si="26"/>
        <v>2.3569999999999998</v>
      </c>
      <c r="Q274" s="88" t="str" cm="1">
        <f t="array" ref="Q274">_xlfn.IFS(P274&gt;4,"Excelent",AND(P274&gt;3,P274&lt;=4),"Very Good",AND(P274&gt;2,P274&lt;=3),"Good",AND(P274&gt;1,P274&lt;=2),"Fair")</f>
        <v>Good</v>
      </c>
      <c r="R274" s="63">
        <f t="shared" si="27"/>
        <v>0.14299999999999999</v>
      </c>
    </row>
    <row r="275" spans="1:18" ht="11.25" customHeight="1" x14ac:dyDescent="0.2">
      <c r="A275" s="48" t="str">
        <f t="shared" si="24"/>
        <v>2019</v>
      </c>
      <c r="B275" s="48" t="str">
        <f t="shared" si="23"/>
        <v>19 Spr</v>
      </c>
      <c r="C275" s="55" t="s">
        <v>119</v>
      </c>
      <c r="D275" s="56" t="s">
        <v>164</v>
      </c>
      <c r="E275" s="56" t="str">
        <f t="shared" si="25"/>
        <v>HSA 6930
Pro Seminar Hlth Mgt 2019</v>
      </c>
      <c r="F275" s="57" t="s">
        <v>161</v>
      </c>
      <c r="G275" s="58">
        <v>23</v>
      </c>
      <c r="H275" s="59">
        <v>14</v>
      </c>
      <c r="I275" s="60" t="s">
        <v>109</v>
      </c>
      <c r="J275" s="61" t="s">
        <v>91</v>
      </c>
      <c r="K275" s="62">
        <v>0</v>
      </c>
      <c r="L275" s="62">
        <v>0.14299999999999999</v>
      </c>
      <c r="M275" s="62">
        <v>0.28599999999999998</v>
      </c>
      <c r="N275" s="62">
        <v>0.35699999999999998</v>
      </c>
      <c r="O275" s="62">
        <v>0.214</v>
      </c>
      <c r="P275" s="72">
        <f t="shared" si="26"/>
        <v>2.3579999999999997</v>
      </c>
      <c r="Q275" s="88" t="str" cm="1">
        <f t="array" ref="Q275">_xlfn.IFS(P275&gt;4,"Excelent",AND(P275&gt;3,P275&lt;=4),"Very Good",AND(P275&gt;2,P275&lt;=3),"Good",AND(P275&gt;1,P275&lt;=2),"Fair")</f>
        <v>Good</v>
      </c>
      <c r="R275" s="63">
        <f t="shared" si="27"/>
        <v>0.14299999999999999</v>
      </c>
    </row>
    <row r="276" spans="1:18" ht="11.25" customHeight="1" x14ac:dyDescent="0.2">
      <c r="A276" s="48" t="str">
        <f t="shared" si="24"/>
        <v>2019</v>
      </c>
      <c r="B276" s="48" t="str">
        <f t="shared" si="23"/>
        <v>19 Spr</v>
      </c>
      <c r="C276" s="55" t="s">
        <v>119</v>
      </c>
      <c r="D276" s="56" t="s">
        <v>164</v>
      </c>
      <c r="E276" s="56" t="str">
        <f t="shared" si="25"/>
        <v>HSA 6930
Pro Seminar Hlth Mgt 2019</v>
      </c>
      <c r="F276" s="57" t="s">
        <v>161</v>
      </c>
      <c r="G276" s="58">
        <v>23</v>
      </c>
      <c r="H276" s="59">
        <v>14</v>
      </c>
      <c r="I276" s="60" t="s">
        <v>109</v>
      </c>
      <c r="J276" s="61" t="s">
        <v>92</v>
      </c>
      <c r="K276" s="62">
        <v>0</v>
      </c>
      <c r="L276" s="62">
        <v>0</v>
      </c>
      <c r="M276" s="62">
        <v>0.214</v>
      </c>
      <c r="N276" s="62">
        <v>0.35699999999999998</v>
      </c>
      <c r="O276" s="62">
        <v>0.35699999999999998</v>
      </c>
      <c r="P276" s="72">
        <f t="shared" si="26"/>
        <v>1.7129999999999999</v>
      </c>
      <c r="Q276" s="88" t="str" cm="1">
        <f t="array" ref="Q276">_xlfn.IFS(P276&gt;4,"Excelent",AND(P276&gt;3,P276&lt;=4),"Very Good",AND(P276&gt;2,P276&lt;=3),"Good",AND(P276&gt;1,P276&lt;=2),"Fair")</f>
        <v>Fair</v>
      </c>
      <c r="R276" s="63">
        <f t="shared" si="27"/>
        <v>0</v>
      </c>
    </row>
    <row r="277" spans="1:18" ht="11.25" customHeight="1" x14ac:dyDescent="0.2">
      <c r="A277" s="48" t="str">
        <f t="shared" si="24"/>
        <v>2019</v>
      </c>
      <c r="B277" s="48" t="str">
        <f t="shared" ref="B277:B321" si="28">_xlfn.CONCAT(RIGHT(C277,2)," ",LEFT(C277,3))</f>
        <v>19 Spr</v>
      </c>
      <c r="C277" s="55" t="s">
        <v>119</v>
      </c>
      <c r="D277" s="56" t="s">
        <v>164</v>
      </c>
      <c r="E277" s="56" t="str">
        <f t="shared" si="25"/>
        <v>HSA 6930
Pro Seminar Hlth Mgt 2019</v>
      </c>
      <c r="F277" s="57" t="s">
        <v>161</v>
      </c>
      <c r="G277" s="58">
        <v>23</v>
      </c>
      <c r="H277" s="59">
        <v>14</v>
      </c>
      <c r="I277" s="60" t="s">
        <v>109</v>
      </c>
      <c r="J277" s="61" t="s">
        <v>93</v>
      </c>
      <c r="K277" s="62">
        <v>0</v>
      </c>
      <c r="L277" s="62">
        <v>0</v>
      </c>
      <c r="M277" s="62">
        <v>0.214</v>
      </c>
      <c r="N277" s="62">
        <v>0.214</v>
      </c>
      <c r="O277" s="62">
        <v>0.35699999999999998</v>
      </c>
      <c r="P277" s="72">
        <f t="shared" si="26"/>
        <v>1.427</v>
      </c>
      <c r="Q277" s="88" t="str" cm="1">
        <f t="array" ref="Q277">_xlfn.IFS(P277&gt;4,"Excelent",AND(P277&gt;3,P277&lt;=4),"Very Good",AND(P277&gt;2,P277&lt;=3),"Good",AND(P277&gt;1,P277&lt;=2),"Fair")</f>
        <v>Fair</v>
      </c>
      <c r="R277" s="63">
        <f t="shared" si="27"/>
        <v>0</v>
      </c>
    </row>
    <row r="278" spans="1:18" ht="11.25" customHeight="1" x14ac:dyDescent="0.2">
      <c r="A278" s="48" t="str">
        <f t="shared" si="24"/>
        <v>2019</v>
      </c>
      <c r="B278" s="48" t="str">
        <f t="shared" si="28"/>
        <v>19 Spr</v>
      </c>
      <c r="C278" s="55" t="s">
        <v>119</v>
      </c>
      <c r="D278" s="56" t="s">
        <v>164</v>
      </c>
      <c r="E278" s="56" t="str">
        <f t="shared" si="25"/>
        <v>HSA 6930
Pro Seminar Hlth Mgt 2019</v>
      </c>
      <c r="F278" s="57" t="s">
        <v>161</v>
      </c>
      <c r="G278" s="58">
        <v>23</v>
      </c>
      <c r="H278" s="59">
        <v>14</v>
      </c>
      <c r="I278" s="60" t="s">
        <v>109</v>
      </c>
      <c r="J278" s="61" t="s">
        <v>94</v>
      </c>
      <c r="K278" s="62">
        <v>0</v>
      </c>
      <c r="L278" s="62">
        <v>0</v>
      </c>
      <c r="M278" s="62">
        <v>0.28599999999999998</v>
      </c>
      <c r="N278" s="62">
        <v>0.5</v>
      </c>
      <c r="O278" s="62">
        <v>0.14299999999999999</v>
      </c>
      <c r="P278" s="72">
        <f t="shared" si="26"/>
        <v>2.0009999999999999</v>
      </c>
      <c r="Q278" s="88" t="str" cm="1">
        <f t="array" ref="Q278">_xlfn.IFS(P278&gt;4,"Excelent",AND(P278&gt;3,P278&lt;=4),"Very Good",AND(P278&gt;2,P278&lt;=3),"Good",AND(P278&gt;1,P278&lt;=2),"Fair")</f>
        <v>Good</v>
      </c>
      <c r="R278" s="63">
        <f t="shared" si="27"/>
        <v>0</v>
      </c>
    </row>
    <row r="279" spans="1:18" ht="11.25" customHeight="1" x14ac:dyDescent="0.2">
      <c r="A279" s="48" t="str">
        <f t="shared" si="24"/>
        <v>2019</v>
      </c>
      <c r="B279" s="48" t="str">
        <f t="shared" si="28"/>
        <v>19 Spr</v>
      </c>
      <c r="C279" s="55" t="s">
        <v>119</v>
      </c>
      <c r="D279" s="56" t="s">
        <v>164</v>
      </c>
      <c r="E279" s="56" t="str">
        <f t="shared" si="25"/>
        <v>HSA 6930
Pro Seminar Hlth Mgt 2019</v>
      </c>
      <c r="F279" s="57" t="s">
        <v>161</v>
      </c>
      <c r="G279" s="58">
        <v>23</v>
      </c>
      <c r="H279" s="59">
        <v>14</v>
      </c>
      <c r="I279" s="60" t="s">
        <v>109</v>
      </c>
      <c r="J279" s="61" t="s">
        <v>95</v>
      </c>
      <c r="K279" s="62">
        <v>7.0999999999999994E-2</v>
      </c>
      <c r="L279" s="62">
        <v>7.0999999999999994E-2</v>
      </c>
      <c r="M279" s="62">
        <v>7.0999999999999994E-2</v>
      </c>
      <c r="N279" s="62">
        <v>0.35699999999999998</v>
      </c>
      <c r="O279" s="62">
        <v>0.28599999999999998</v>
      </c>
      <c r="P279" s="72">
        <f t="shared" si="26"/>
        <v>1.8519999999999999</v>
      </c>
      <c r="Q279" s="88" t="str" cm="1">
        <f t="array" ref="Q279">_xlfn.IFS(P279&gt;4,"Excelent",AND(P279&gt;3,P279&lt;=4),"Very Good",AND(P279&gt;2,P279&lt;=3),"Good",AND(P279&gt;1,P279&lt;=2),"Fair")</f>
        <v>Fair</v>
      </c>
      <c r="R279" s="63">
        <f t="shared" si="27"/>
        <v>0.14199999999999999</v>
      </c>
    </row>
    <row r="280" spans="1:18" ht="11.25" customHeight="1" x14ac:dyDescent="0.2">
      <c r="A280" s="48" t="str">
        <f t="shared" si="24"/>
        <v>2019</v>
      </c>
      <c r="B280" s="48" t="str">
        <f t="shared" si="28"/>
        <v>19 Spr</v>
      </c>
      <c r="C280" s="55" t="s">
        <v>119</v>
      </c>
      <c r="D280" s="56" t="s">
        <v>164</v>
      </c>
      <c r="E280" s="56" t="str">
        <f t="shared" si="25"/>
        <v>HSA 6930
Pro Seminar Hlth Mgt 2019</v>
      </c>
      <c r="F280" s="57" t="s">
        <v>161</v>
      </c>
      <c r="G280" s="58">
        <v>23</v>
      </c>
      <c r="H280" s="59">
        <v>14</v>
      </c>
      <c r="I280" s="60" t="s">
        <v>109</v>
      </c>
      <c r="J280" s="61" t="s">
        <v>96</v>
      </c>
      <c r="K280" s="62">
        <v>7.0999999999999994E-2</v>
      </c>
      <c r="L280" s="62">
        <v>0.214</v>
      </c>
      <c r="M280" s="62">
        <v>7.0999999999999994E-2</v>
      </c>
      <c r="N280" s="62">
        <v>0.35699999999999998</v>
      </c>
      <c r="O280" s="62">
        <v>0.28599999999999998</v>
      </c>
      <c r="P280" s="72">
        <f t="shared" si="26"/>
        <v>2.4239999999999999</v>
      </c>
      <c r="Q280" s="88" t="str" cm="1">
        <f t="array" ref="Q280">_xlfn.IFS(P280&gt;4,"Excelent",AND(P280&gt;3,P280&lt;=4),"Very Good",AND(P280&gt;2,P280&lt;=3),"Good",AND(P280&gt;1,P280&lt;=2),"Fair")</f>
        <v>Good</v>
      </c>
      <c r="R280" s="63">
        <f t="shared" si="27"/>
        <v>0.28499999999999998</v>
      </c>
    </row>
    <row r="281" spans="1:18" ht="11.25" customHeight="1" x14ac:dyDescent="0.2">
      <c r="A281" s="48" t="str">
        <f t="shared" si="24"/>
        <v>2019</v>
      </c>
      <c r="B281" s="48" t="str">
        <f t="shared" si="28"/>
        <v>19 Spr</v>
      </c>
      <c r="C281" s="55" t="s">
        <v>119</v>
      </c>
      <c r="D281" s="56" t="s">
        <v>164</v>
      </c>
      <c r="E281" s="56" t="str">
        <f t="shared" si="25"/>
        <v>HSA 6930
Pro Seminar Hlth Mgt 2019</v>
      </c>
      <c r="F281" s="57" t="s">
        <v>161</v>
      </c>
      <c r="G281" s="58">
        <v>23</v>
      </c>
      <c r="H281" s="59">
        <v>14</v>
      </c>
      <c r="I281" s="60" t="s">
        <v>109</v>
      </c>
      <c r="J281" s="61" t="s">
        <v>97</v>
      </c>
      <c r="K281" s="65">
        <v>0</v>
      </c>
      <c r="L281" s="65">
        <v>0.14299999999999999</v>
      </c>
      <c r="M281" s="65">
        <v>0</v>
      </c>
      <c r="N281" s="65">
        <v>0.42899999999999999</v>
      </c>
      <c r="O281" s="65">
        <v>0.42899999999999999</v>
      </c>
      <c r="P281" s="72">
        <f t="shared" si="26"/>
        <v>1.859</v>
      </c>
      <c r="Q281" s="88" t="str" cm="1">
        <f t="array" ref="Q281">_xlfn.IFS(P281&gt;4,"Excelent",AND(P281&gt;3,P281&lt;=4),"Very Good",AND(P281&gt;2,P281&lt;=3),"Good",AND(P281&gt;1,P281&lt;=2),"Fair")</f>
        <v>Fair</v>
      </c>
      <c r="R281" s="63">
        <f t="shared" si="27"/>
        <v>0.14299999999999999</v>
      </c>
    </row>
    <row r="282" spans="1:18" ht="11.25" customHeight="1" x14ac:dyDescent="0.2">
      <c r="A282" s="48" t="str">
        <f t="shared" si="24"/>
        <v>2019</v>
      </c>
      <c r="B282" s="48" t="str">
        <f t="shared" si="28"/>
        <v>19 Spr</v>
      </c>
      <c r="C282" s="55" t="s">
        <v>119</v>
      </c>
      <c r="D282" s="56" t="s">
        <v>164</v>
      </c>
      <c r="E282" s="56" t="str">
        <f t="shared" si="25"/>
        <v>HSA 6930
Pro Seminar Hlth Mgt 2019</v>
      </c>
      <c r="F282" s="57" t="s">
        <v>144</v>
      </c>
      <c r="G282" s="58">
        <v>18</v>
      </c>
      <c r="H282" s="59">
        <v>7</v>
      </c>
      <c r="I282" s="60" t="s">
        <v>111</v>
      </c>
      <c r="J282" s="61" t="s">
        <v>90</v>
      </c>
      <c r="K282" s="62">
        <v>0.71399999999999997</v>
      </c>
      <c r="L282" s="62">
        <v>0.14299999999999999</v>
      </c>
      <c r="M282" s="62">
        <v>0</v>
      </c>
      <c r="N282" s="62">
        <v>0.14299999999999999</v>
      </c>
      <c r="O282" s="62">
        <v>0</v>
      </c>
      <c r="P282" s="72">
        <f t="shared" si="26"/>
        <v>4.427999999999999</v>
      </c>
      <c r="Q282" s="88" t="str" cm="1">
        <f t="array" ref="Q282">_xlfn.IFS(P282&gt;4,"Excelent",AND(P282&gt;3,P282&lt;=4),"Very Good",AND(P282&gt;2,P282&lt;=3),"Good",AND(P282&gt;1,P282&lt;=2),"Fair")</f>
        <v>Excelent</v>
      </c>
      <c r="R282" s="63">
        <f t="shared" si="27"/>
        <v>0.85699999999999998</v>
      </c>
    </row>
    <row r="283" spans="1:18" ht="11.25" customHeight="1" x14ac:dyDescent="0.2">
      <c r="A283" s="48" t="str">
        <f t="shared" si="24"/>
        <v>2019</v>
      </c>
      <c r="B283" s="48" t="str">
        <f t="shared" si="28"/>
        <v>19 Spr</v>
      </c>
      <c r="C283" s="55" t="s">
        <v>119</v>
      </c>
      <c r="D283" s="56" t="s">
        <v>164</v>
      </c>
      <c r="E283" s="56" t="str">
        <f t="shared" si="25"/>
        <v>HSA 6930
Pro Seminar Hlth Mgt 2019</v>
      </c>
      <c r="F283" s="57" t="s">
        <v>144</v>
      </c>
      <c r="G283" s="58">
        <v>18</v>
      </c>
      <c r="H283" s="59">
        <v>7</v>
      </c>
      <c r="I283" s="60" t="s">
        <v>111</v>
      </c>
      <c r="J283" s="61" t="s">
        <v>91</v>
      </c>
      <c r="K283" s="62">
        <v>0.71399999999999997</v>
      </c>
      <c r="L283" s="62">
        <v>0.14299999999999999</v>
      </c>
      <c r="M283" s="62">
        <v>0</v>
      </c>
      <c r="N283" s="62">
        <v>0.14299999999999999</v>
      </c>
      <c r="O283" s="62">
        <v>0</v>
      </c>
      <c r="P283" s="72">
        <f t="shared" si="26"/>
        <v>4.427999999999999</v>
      </c>
      <c r="Q283" s="88" t="str" cm="1">
        <f t="array" ref="Q283">_xlfn.IFS(P283&gt;4,"Excelent",AND(P283&gt;3,P283&lt;=4),"Very Good",AND(P283&gt;2,P283&lt;=3),"Good",AND(P283&gt;1,P283&lt;=2),"Fair")</f>
        <v>Excelent</v>
      </c>
      <c r="R283" s="63">
        <f t="shared" si="27"/>
        <v>0.85699999999999998</v>
      </c>
    </row>
    <row r="284" spans="1:18" ht="11.25" customHeight="1" x14ac:dyDescent="0.2">
      <c r="A284" s="48" t="str">
        <f t="shared" si="24"/>
        <v>2019</v>
      </c>
      <c r="B284" s="48" t="str">
        <f t="shared" si="28"/>
        <v>19 Spr</v>
      </c>
      <c r="C284" s="55" t="s">
        <v>119</v>
      </c>
      <c r="D284" s="56" t="s">
        <v>164</v>
      </c>
      <c r="E284" s="56" t="str">
        <f t="shared" si="25"/>
        <v>HSA 6930
Pro Seminar Hlth Mgt 2019</v>
      </c>
      <c r="F284" s="57" t="s">
        <v>144</v>
      </c>
      <c r="G284" s="58">
        <v>18</v>
      </c>
      <c r="H284" s="59">
        <v>7</v>
      </c>
      <c r="I284" s="60" t="s">
        <v>111</v>
      </c>
      <c r="J284" s="61" t="s">
        <v>92</v>
      </c>
      <c r="K284" s="62">
        <v>0.71399999999999997</v>
      </c>
      <c r="L284" s="62">
        <v>0.14299999999999999</v>
      </c>
      <c r="M284" s="62">
        <v>0</v>
      </c>
      <c r="N284" s="62">
        <v>0</v>
      </c>
      <c r="O284" s="62">
        <v>0.14299999999999999</v>
      </c>
      <c r="P284" s="72">
        <f t="shared" si="26"/>
        <v>4.2849999999999993</v>
      </c>
      <c r="Q284" s="88" t="str" cm="1">
        <f t="array" ref="Q284">_xlfn.IFS(P284&gt;4,"Excelent",AND(P284&gt;3,P284&lt;=4),"Very Good",AND(P284&gt;2,P284&lt;=3),"Good",AND(P284&gt;1,P284&lt;=2),"Fair")</f>
        <v>Excelent</v>
      </c>
      <c r="R284" s="63">
        <f t="shared" si="27"/>
        <v>0.85699999999999998</v>
      </c>
    </row>
    <row r="285" spans="1:18" ht="11.25" customHeight="1" x14ac:dyDescent="0.2">
      <c r="A285" s="48" t="str">
        <f t="shared" si="24"/>
        <v>2019</v>
      </c>
      <c r="B285" s="48" t="str">
        <f t="shared" si="28"/>
        <v>19 Spr</v>
      </c>
      <c r="C285" s="55" t="s">
        <v>119</v>
      </c>
      <c r="D285" s="56" t="s">
        <v>164</v>
      </c>
      <c r="E285" s="56" t="str">
        <f t="shared" si="25"/>
        <v>HSA 6930
Pro Seminar Hlth Mgt 2019</v>
      </c>
      <c r="F285" s="57" t="s">
        <v>144</v>
      </c>
      <c r="G285" s="58">
        <v>18</v>
      </c>
      <c r="H285" s="59">
        <v>7</v>
      </c>
      <c r="I285" s="60" t="s">
        <v>111</v>
      </c>
      <c r="J285" s="61" t="s">
        <v>93</v>
      </c>
      <c r="K285" s="62">
        <v>0.57099999999999995</v>
      </c>
      <c r="L285" s="62">
        <v>0</v>
      </c>
      <c r="M285" s="62">
        <v>0.28599999999999998</v>
      </c>
      <c r="N285" s="62">
        <v>0.14299999999999999</v>
      </c>
      <c r="O285" s="62">
        <v>0</v>
      </c>
      <c r="P285" s="72">
        <f t="shared" si="26"/>
        <v>3.9989999999999992</v>
      </c>
      <c r="Q285" s="88" t="str" cm="1">
        <f t="array" ref="Q285">_xlfn.IFS(P285&gt;4,"Excelent",AND(P285&gt;3,P285&lt;=4),"Very Good",AND(P285&gt;2,P285&lt;=3),"Good",AND(P285&gt;1,P285&lt;=2),"Fair")</f>
        <v>Very Good</v>
      </c>
      <c r="R285" s="63">
        <f t="shared" si="27"/>
        <v>0.57099999999999995</v>
      </c>
    </row>
    <row r="286" spans="1:18" ht="11.25" customHeight="1" x14ac:dyDescent="0.2">
      <c r="A286" s="48" t="str">
        <f t="shared" si="24"/>
        <v>2019</v>
      </c>
      <c r="B286" s="48" t="str">
        <f t="shared" si="28"/>
        <v>19 Spr</v>
      </c>
      <c r="C286" s="55" t="s">
        <v>119</v>
      </c>
      <c r="D286" s="56" t="s">
        <v>164</v>
      </c>
      <c r="E286" s="56" t="str">
        <f t="shared" si="25"/>
        <v>HSA 6930
Pro Seminar Hlth Mgt 2019</v>
      </c>
      <c r="F286" s="57" t="s">
        <v>144</v>
      </c>
      <c r="G286" s="58">
        <v>18</v>
      </c>
      <c r="H286" s="59">
        <v>7</v>
      </c>
      <c r="I286" s="60" t="s">
        <v>111</v>
      </c>
      <c r="J286" s="61" t="s">
        <v>94</v>
      </c>
      <c r="K286" s="62">
        <v>0.71399999999999997</v>
      </c>
      <c r="L286" s="62">
        <v>0.14299999999999999</v>
      </c>
      <c r="M286" s="62">
        <v>0</v>
      </c>
      <c r="N286" s="62">
        <v>0.14299999999999999</v>
      </c>
      <c r="O286" s="62">
        <v>0</v>
      </c>
      <c r="P286" s="72">
        <f t="shared" si="26"/>
        <v>4.427999999999999</v>
      </c>
      <c r="Q286" s="88" t="str" cm="1">
        <f t="array" ref="Q286">_xlfn.IFS(P286&gt;4,"Excelent",AND(P286&gt;3,P286&lt;=4),"Very Good",AND(P286&gt;2,P286&lt;=3),"Good",AND(P286&gt;1,P286&lt;=2),"Fair")</f>
        <v>Excelent</v>
      </c>
      <c r="R286" s="63">
        <f t="shared" si="27"/>
        <v>0.85699999999999998</v>
      </c>
    </row>
    <row r="287" spans="1:18" ht="11.25" customHeight="1" x14ac:dyDescent="0.2">
      <c r="A287" s="48" t="str">
        <f t="shared" si="24"/>
        <v>2019</v>
      </c>
      <c r="B287" s="48" t="str">
        <f t="shared" si="28"/>
        <v>19 Spr</v>
      </c>
      <c r="C287" s="55" t="s">
        <v>119</v>
      </c>
      <c r="D287" s="56" t="s">
        <v>164</v>
      </c>
      <c r="E287" s="56" t="str">
        <f t="shared" si="25"/>
        <v>HSA 6930
Pro Seminar Hlth Mgt 2019</v>
      </c>
      <c r="F287" s="57" t="s">
        <v>144</v>
      </c>
      <c r="G287" s="58">
        <v>18</v>
      </c>
      <c r="H287" s="59">
        <v>7</v>
      </c>
      <c r="I287" s="60" t="s">
        <v>111</v>
      </c>
      <c r="J287" s="61" t="s">
        <v>95</v>
      </c>
      <c r="K287" s="62">
        <v>0.71399999999999997</v>
      </c>
      <c r="L287" s="62">
        <v>0.14299999999999999</v>
      </c>
      <c r="M287" s="62">
        <v>0</v>
      </c>
      <c r="N287" s="62">
        <v>0.14299999999999999</v>
      </c>
      <c r="O287" s="62">
        <v>0</v>
      </c>
      <c r="P287" s="72">
        <f t="shared" si="26"/>
        <v>4.427999999999999</v>
      </c>
      <c r="Q287" s="88" t="str" cm="1">
        <f t="array" ref="Q287">_xlfn.IFS(P287&gt;4,"Excelent",AND(P287&gt;3,P287&lt;=4),"Very Good",AND(P287&gt;2,P287&lt;=3),"Good",AND(P287&gt;1,P287&lt;=2),"Fair")</f>
        <v>Excelent</v>
      </c>
      <c r="R287" s="63">
        <f t="shared" si="27"/>
        <v>0.85699999999999998</v>
      </c>
    </row>
    <row r="288" spans="1:18" ht="11.25" customHeight="1" x14ac:dyDescent="0.2">
      <c r="A288" s="48" t="str">
        <f t="shared" si="24"/>
        <v>2019</v>
      </c>
      <c r="B288" s="48" t="str">
        <f t="shared" si="28"/>
        <v>19 Spr</v>
      </c>
      <c r="C288" s="55" t="s">
        <v>119</v>
      </c>
      <c r="D288" s="56" t="s">
        <v>164</v>
      </c>
      <c r="E288" s="56" t="str">
        <f t="shared" si="25"/>
        <v>HSA 6930
Pro Seminar Hlth Mgt 2019</v>
      </c>
      <c r="F288" s="57" t="s">
        <v>144</v>
      </c>
      <c r="G288" s="58">
        <v>18</v>
      </c>
      <c r="H288" s="59">
        <v>7</v>
      </c>
      <c r="I288" s="60" t="s">
        <v>111</v>
      </c>
      <c r="J288" s="61" t="s">
        <v>96</v>
      </c>
      <c r="K288" s="62">
        <v>0.71399999999999997</v>
      </c>
      <c r="L288" s="62">
        <v>0.14299999999999999</v>
      </c>
      <c r="M288" s="62">
        <v>0</v>
      </c>
      <c r="N288" s="62">
        <v>0.14299999999999999</v>
      </c>
      <c r="O288" s="62">
        <v>0</v>
      </c>
      <c r="P288" s="72">
        <f t="shared" si="26"/>
        <v>4.427999999999999</v>
      </c>
      <c r="Q288" s="88" t="str" cm="1">
        <f t="array" ref="Q288">_xlfn.IFS(P288&gt;4,"Excelent",AND(P288&gt;3,P288&lt;=4),"Very Good",AND(P288&gt;2,P288&lt;=3),"Good",AND(P288&gt;1,P288&lt;=2),"Fair")</f>
        <v>Excelent</v>
      </c>
      <c r="R288" s="63">
        <f t="shared" si="27"/>
        <v>0.85699999999999998</v>
      </c>
    </row>
    <row r="289" spans="1:19" s="75" customFormat="1" ht="11.25" customHeight="1" x14ac:dyDescent="0.25">
      <c r="A289" s="75" t="str">
        <f t="shared" si="24"/>
        <v>2019</v>
      </c>
      <c r="B289" s="75" t="str">
        <f t="shared" si="28"/>
        <v>19 Spr</v>
      </c>
      <c r="C289" s="76" t="s">
        <v>119</v>
      </c>
      <c r="D289" s="76" t="s">
        <v>104</v>
      </c>
      <c r="E289" s="76" t="str">
        <f t="shared" si="25"/>
        <v>HSA 3412C
Cultural Competency in HSC 2019</v>
      </c>
      <c r="F289" s="77" t="s">
        <v>144</v>
      </c>
      <c r="G289" s="78">
        <v>18</v>
      </c>
      <c r="H289" s="79">
        <v>7</v>
      </c>
      <c r="I289" s="80" t="s">
        <v>111</v>
      </c>
      <c r="J289" s="81" t="s">
        <v>97</v>
      </c>
      <c r="K289" s="82">
        <v>0.71399999999999997</v>
      </c>
      <c r="L289" s="82">
        <v>0.14299999999999999</v>
      </c>
      <c r="M289" s="82">
        <v>0</v>
      </c>
      <c r="N289" s="82">
        <v>0</v>
      </c>
      <c r="O289" s="82">
        <v>0.14299999999999999</v>
      </c>
      <c r="P289" s="83">
        <f t="shared" si="26"/>
        <v>4.2849999999999993</v>
      </c>
      <c r="Q289" s="88" t="str" cm="1">
        <f t="array" ref="Q289">_xlfn.IFS(P289&gt;4,"Excelent",AND(P289&gt;3,P289&lt;=4),"Very Good",AND(P289&gt;2,P289&lt;=3),"Good",AND(P289&gt;1,P289&lt;=2),"Fair")</f>
        <v>Excelent</v>
      </c>
      <c r="R289" s="84">
        <f t="shared" si="27"/>
        <v>0.85699999999999998</v>
      </c>
      <c r="S289" s="75">
        <f>AVERAGE(P242:P289)</f>
        <v>3.2722500000000001</v>
      </c>
    </row>
    <row r="290" spans="1:19" ht="11.25" customHeight="1" x14ac:dyDescent="0.2">
      <c r="A290" s="48" t="str">
        <f t="shared" si="24"/>
        <v>2018</v>
      </c>
      <c r="B290" s="48" t="str">
        <f t="shared" si="28"/>
        <v>18 Fal</v>
      </c>
      <c r="C290" s="55" t="s">
        <v>114</v>
      </c>
      <c r="D290" s="56" t="s">
        <v>168</v>
      </c>
      <c r="E290" s="56" t="str">
        <f t="shared" si="25"/>
        <v>HSA 3412C
Cultural Competency in HSC 2018</v>
      </c>
      <c r="F290" s="57" t="s">
        <v>118</v>
      </c>
      <c r="G290" s="58">
        <v>31</v>
      </c>
      <c r="H290" s="59">
        <v>27</v>
      </c>
      <c r="I290" s="60" t="s">
        <v>109</v>
      </c>
      <c r="J290" s="61" t="s">
        <v>90</v>
      </c>
      <c r="K290" s="62">
        <v>0.81499999999999995</v>
      </c>
      <c r="L290" s="62">
        <v>0.111</v>
      </c>
      <c r="M290" s="62">
        <v>7.3999999999999996E-2</v>
      </c>
      <c r="N290" s="62">
        <v>0</v>
      </c>
      <c r="O290" s="62">
        <v>0</v>
      </c>
      <c r="P290" s="72">
        <f t="shared" si="26"/>
        <v>4.7409999999999997</v>
      </c>
      <c r="Q290" s="88" t="str" cm="1">
        <f t="array" ref="Q290">_xlfn.IFS(P290&gt;4,"Excelent",AND(P290&gt;3,P290&lt;=4),"Very Good",AND(P290&gt;2,P290&lt;=3),"Good",AND(P290&gt;1,P290&lt;=2),"Fair")</f>
        <v>Excelent</v>
      </c>
      <c r="R290" s="63">
        <f t="shared" si="27"/>
        <v>0.92599999999999993</v>
      </c>
      <c r="S290" s="64">
        <f t="shared" ref="S290:S321" si="29">AVERAGE(P283:P290)</f>
        <v>4.3777499999999989</v>
      </c>
    </row>
    <row r="291" spans="1:19" ht="11.25" customHeight="1" x14ac:dyDescent="0.2">
      <c r="A291" s="48" t="str">
        <f t="shared" si="24"/>
        <v>2018</v>
      </c>
      <c r="B291" s="48" t="str">
        <f t="shared" si="28"/>
        <v>18 Fal</v>
      </c>
      <c r="C291" s="55" t="s">
        <v>114</v>
      </c>
      <c r="D291" s="56" t="s">
        <v>168</v>
      </c>
      <c r="E291" s="56" t="str">
        <f t="shared" si="25"/>
        <v>HSA 3412C
Cultural Competency in HSC 2018</v>
      </c>
      <c r="F291" s="57" t="s">
        <v>118</v>
      </c>
      <c r="G291" s="58">
        <v>31</v>
      </c>
      <c r="H291" s="59">
        <v>27</v>
      </c>
      <c r="I291" s="60" t="s">
        <v>109</v>
      </c>
      <c r="J291" s="61" t="s">
        <v>91</v>
      </c>
      <c r="K291" s="62">
        <v>0.77800000000000002</v>
      </c>
      <c r="L291" s="62">
        <v>0.14799999999999999</v>
      </c>
      <c r="M291" s="62">
        <v>3.6999999999999998E-2</v>
      </c>
      <c r="N291" s="62">
        <v>3.6999999999999998E-2</v>
      </c>
      <c r="O291" s="62">
        <v>0</v>
      </c>
      <c r="P291" s="72">
        <f t="shared" si="26"/>
        <v>4.6669999999999998</v>
      </c>
      <c r="Q291" s="88" t="str" cm="1">
        <f t="array" ref="Q291">_xlfn.IFS(P291&gt;4,"Excelent",AND(P291&gt;3,P291&lt;=4),"Very Good",AND(P291&gt;2,P291&lt;=3),"Good",AND(P291&gt;1,P291&lt;=2),"Fair")</f>
        <v>Excelent</v>
      </c>
      <c r="R291" s="63">
        <f t="shared" si="27"/>
        <v>0.92600000000000005</v>
      </c>
      <c r="S291" s="64">
        <f t="shared" si="29"/>
        <v>4.4076249999999995</v>
      </c>
    </row>
    <row r="292" spans="1:19" ht="11.25" customHeight="1" x14ac:dyDescent="0.2">
      <c r="A292" s="48" t="str">
        <f t="shared" si="24"/>
        <v>2018</v>
      </c>
      <c r="B292" s="48" t="str">
        <f t="shared" si="28"/>
        <v>18 Fal</v>
      </c>
      <c r="C292" s="55" t="s">
        <v>114</v>
      </c>
      <c r="D292" s="56" t="s">
        <v>168</v>
      </c>
      <c r="E292" s="56" t="str">
        <f t="shared" si="25"/>
        <v>HSA 3412C
Cultural Competency in HSC 2018</v>
      </c>
      <c r="F292" s="57" t="s">
        <v>118</v>
      </c>
      <c r="G292" s="58">
        <v>31</v>
      </c>
      <c r="H292" s="59">
        <v>27</v>
      </c>
      <c r="I292" s="60" t="s">
        <v>109</v>
      </c>
      <c r="J292" s="61" t="s">
        <v>92</v>
      </c>
      <c r="K292" s="62">
        <v>0.77800000000000002</v>
      </c>
      <c r="L292" s="62">
        <v>0.14799999999999999</v>
      </c>
      <c r="M292" s="62">
        <v>7.3999999999999996E-2</v>
      </c>
      <c r="N292" s="62">
        <v>0</v>
      </c>
      <c r="O292" s="62">
        <v>0</v>
      </c>
      <c r="P292" s="72">
        <f t="shared" si="26"/>
        <v>4.7040000000000006</v>
      </c>
      <c r="Q292" s="88" t="str" cm="1">
        <f t="array" ref="Q292">_xlfn.IFS(P292&gt;4,"Excelent",AND(P292&gt;3,P292&lt;=4),"Very Good",AND(P292&gt;2,P292&lt;=3),"Good",AND(P292&gt;1,P292&lt;=2),"Fair")</f>
        <v>Excelent</v>
      </c>
      <c r="R292" s="63">
        <f t="shared" si="27"/>
        <v>0.92600000000000005</v>
      </c>
      <c r="S292" s="64">
        <f t="shared" si="29"/>
        <v>4.4599999999999991</v>
      </c>
    </row>
    <row r="293" spans="1:19" ht="11.25" customHeight="1" x14ac:dyDescent="0.2">
      <c r="A293" s="48" t="str">
        <f t="shared" si="24"/>
        <v>2018</v>
      </c>
      <c r="B293" s="48" t="str">
        <f t="shared" si="28"/>
        <v>18 Fal</v>
      </c>
      <c r="C293" s="55" t="s">
        <v>114</v>
      </c>
      <c r="D293" s="56" t="s">
        <v>168</v>
      </c>
      <c r="E293" s="56" t="str">
        <f t="shared" si="25"/>
        <v>HSA 3412C
Cultural Competency in HSC 2018</v>
      </c>
      <c r="F293" s="57" t="s">
        <v>118</v>
      </c>
      <c r="G293" s="58">
        <v>31</v>
      </c>
      <c r="H293" s="59">
        <v>27</v>
      </c>
      <c r="I293" s="60" t="s">
        <v>109</v>
      </c>
      <c r="J293" s="61" t="s">
        <v>93</v>
      </c>
      <c r="K293" s="62">
        <v>0.74099999999999999</v>
      </c>
      <c r="L293" s="62">
        <v>0.185</v>
      </c>
      <c r="M293" s="62">
        <v>3.6999999999999998E-2</v>
      </c>
      <c r="N293" s="62">
        <v>3.6999999999999998E-2</v>
      </c>
      <c r="O293" s="62">
        <v>0</v>
      </c>
      <c r="P293" s="72">
        <f t="shared" si="26"/>
        <v>4.63</v>
      </c>
      <c r="Q293" s="88" t="str" cm="1">
        <f t="array" ref="Q293">_xlfn.IFS(P293&gt;4,"Excelent",AND(P293&gt;3,P293&lt;=4),"Very Good",AND(P293&gt;2,P293&lt;=3),"Good",AND(P293&gt;1,P293&lt;=2),"Fair")</f>
        <v>Excelent</v>
      </c>
      <c r="R293" s="63">
        <f t="shared" si="27"/>
        <v>0.92599999999999993</v>
      </c>
      <c r="S293" s="64">
        <f t="shared" si="29"/>
        <v>4.538875</v>
      </c>
    </row>
    <row r="294" spans="1:19" ht="11.25" customHeight="1" x14ac:dyDescent="0.2">
      <c r="A294" s="48" t="str">
        <f t="shared" si="24"/>
        <v>2018</v>
      </c>
      <c r="B294" s="48" t="str">
        <f t="shared" si="28"/>
        <v>18 Fal</v>
      </c>
      <c r="C294" s="55" t="s">
        <v>114</v>
      </c>
      <c r="D294" s="56" t="s">
        <v>168</v>
      </c>
      <c r="E294" s="56" t="str">
        <f t="shared" si="25"/>
        <v>HSA 3412C
Cultural Competency in HSC 2018</v>
      </c>
      <c r="F294" s="57" t="s">
        <v>118</v>
      </c>
      <c r="G294" s="58">
        <v>31</v>
      </c>
      <c r="H294" s="59">
        <v>27</v>
      </c>
      <c r="I294" s="60" t="s">
        <v>109</v>
      </c>
      <c r="J294" s="61" t="s">
        <v>94</v>
      </c>
      <c r="K294" s="62">
        <v>0.77800000000000002</v>
      </c>
      <c r="L294" s="62">
        <v>0.14799999999999999</v>
      </c>
      <c r="M294" s="62">
        <v>3.6999999999999998E-2</v>
      </c>
      <c r="N294" s="62">
        <v>0</v>
      </c>
      <c r="O294" s="62">
        <v>0</v>
      </c>
      <c r="P294" s="72">
        <f t="shared" si="26"/>
        <v>4.593</v>
      </c>
      <c r="Q294" s="88" t="str" cm="1">
        <f t="array" ref="Q294">_xlfn.IFS(P294&gt;4,"Excelent",AND(P294&gt;3,P294&lt;=4),"Very Good",AND(P294&gt;2,P294&lt;=3),"Good",AND(P294&gt;1,P294&lt;=2),"Fair")</f>
        <v>Excelent</v>
      </c>
      <c r="R294" s="63">
        <f t="shared" si="27"/>
        <v>0.92600000000000005</v>
      </c>
      <c r="S294" s="64">
        <f t="shared" si="29"/>
        <v>4.5594999999999999</v>
      </c>
    </row>
    <row r="295" spans="1:19" ht="11.25" customHeight="1" x14ac:dyDescent="0.2">
      <c r="A295" s="48" t="str">
        <f t="shared" si="24"/>
        <v>2018</v>
      </c>
      <c r="B295" s="48" t="str">
        <f t="shared" si="28"/>
        <v>18 Fal</v>
      </c>
      <c r="C295" s="55" t="s">
        <v>114</v>
      </c>
      <c r="D295" s="56" t="s">
        <v>168</v>
      </c>
      <c r="E295" s="56" t="str">
        <f t="shared" si="25"/>
        <v>HSA 3412C
Cultural Competency in HSC 2018</v>
      </c>
      <c r="F295" s="57" t="s">
        <v>118</v>
      </c>
      <c r="G295" s="58">
        <v>31</v>
      </c>
      <c r="H295" s="59">
        <v>27</v>
      </c>
      <c r="I295" s="60" t="s">
        <v>109</v>
      </c>
      <c r="J295" s="61" t="s">
        <v>95</v>
      </c>
      <c r="K295" s="62">
        <v>0.85199999999999998</v>
      </c>
      <c r="L295" s="62">
        <v>0.111</v>
      </c>
      <c r="M295" s="62">
        <v>3.6999999999999998E-2</v>
      </c>
      <c r="N295" s="62">
        <v>0</v>
      </c>
      <c r="O295" s="62">
        <v>0</v>
      </c>
      <c r="P295" s="72">
        <f t="shared" si="26"/>
        <v>4.8149999999999995</v>
      </c>
      <c r="Q295" s="88" t="str" cm="1">
        <f t="array" ref="Q295">_xlfn.IFS(P295&gt;4,"Excelent",AND(P295&gt;3,P295&lt;=4),"Very Good",AND(P295&gt;2,P295&lt;=3),"Good",AND(P295&gt;1,P295&lt;=2),"Fair")</f>
        <v>Excelent</v>
      </c>
      <c r="R295" s="63">
        <f t="shared" si="27"/>
        <v>0.96299999999999997</v>
      </c>
      <c r="S295" s="64">
        <f t="shared" si="29"/>
        <v>4.6078749999999991</v>
      </c>
    </row>
    <row r="296" spans="1:19" ht="11.25" customHeight="1" x14ac:dyDescent="0.2">
      <c r="A296" s="48" t="str">
        <f t="shared" si="24"/>
        <v>2018</v>
      </c>
      <c r="B296" s="48" t="str">
        <f t="shared" si="28"/>
        <v>18 Fal</v>
      </c>
      <c r="C296" s="55" t="s">
        <v>114</v>
      </c>
      <c r="D296" s="56" t="s">
        <v>168</v>
      </c>
      <c r="E296" s="56" t="str">
        <f t="shared" si="25"/>
        <v>HSA 3412C
Cultural Competency in HSC 2018</v>
      </c>
      <c r="F296" s="57" t="s">
        <v>118</v>
      </c>
      <c r="G296" s="58">
        <v>31</v>
      </c>
      <c r="H296" s="59">
        <v>27</v>
      </c>
      <c r="I296" s="60" t="s">
        <v>109</v>
      </c>
      <c r="J296" s="61" t="s">
        <v>96</v>
      </c>
      <c r="K296" s="62">
        <v>0.81499999999999995</v>
      </c>
      <c r="L296" s="62">
        <v>0.111</v>
      </c>
      <c r="M296" s="62">
        <v>7.3999999999999996E-2</v>
      </c>
      <c r="N296" s="62">
        <v>0</v>
      </c>
      <c r="O296" s="62">
        <v>0</v>
      </c>
      <c r="P296" s="72">
        <f t="shared" si="26"/>
        <v>4.7409999999999997</v>
      </c>
      <c r="Q296" s="88" t="str" cm="1">
        <f t="array" ref="Q296">_xlfn.IFS(P296&gt;4,"Excelent",AND(P296&gt;3,P296&lt;=4),"Very Good",AND(P296&gt;2,P296&lt;=3),"Good",AND(P296&gt;1,P296&lt;=2),"Fair")</f>
        <v>Excelent</v>
      </c>
      <c r="R296" s="63">
        <f t="shared" si="27"/>
        <v>0.92599999999999993</v>
      </c>
      <c r="S296" s="64">
        <f t="shared" si="29"/>
        <v>4.6469999999999994</v>
      </c>
    </row>
    <row r="297" spans="1:19" ht="11.25" customHeight="1" x14ac:dyDescent="0.2">
      <c r="A297" s="48" t="str">
        <f t="shared" si="24"/>
        <v>2018</v>
      </c>
      <c r="B297" s="48" t="str">
        <f t="shared" si="28"/>
        <v>18 Fal</v>
      </c>
      <c r="C297" s="55" t="s">
        <v>114</v>
      </c>
      <c r="D297" s="56" t="s">
        <v>168</v>
      </c>
      <c r="E297" s="56" t="str">
        <f t="shared" si="25"/>
        <v>HSA 4170
Hlthcr Fincl Mgt 2018</v>
      </c>
      <c r="F297" s="57" t="s">
        <v>118</v>
      </c>
      <c r="G297" s="58">
        <v>31</v>
      </c>
      <c r="H297" s="59">
        <v>27</v>
      </c>
      <c r="I297" s="60" t="s">
        <v>109</v>
      </c>
      <c r="J297" s="61" t="s">
        <v>97</v>
      </c>
      <c r="K297" s="65">
        <v>0.77800000000000002</v>
      </c>
      <c r="L297" s="65">
        <v>0.185</v>
      </c>
      <c r="M297" s="65">
        <v>3.6999999999999998E-2</v>
      </c>
      <c r="N297" s="65">
        <v>0</v>
      </c>
      <c r="O297" s="65">
        <v>0</v>
      </c>
      <c r="P297" s="72">
        <f t="shared" si="26"/>
        <v>4.7409999999999997</v>
      </c>
      <c r="Q297" s="88" t="str" cm="1">
        <f t="array" ref="Q297">_xlfn.IFS(P297&gt;4,"Excelent",AND(P297&gt;3,P297&lt;=4),"Very Good",AND(P297&gt;2,P297&lt;=3),"Good",AND(P297&gt;1,P297&lt;=2),"Fair")</f>
        <v>Excelent</v>
      </c>
      <c r="R297" s="63">
        <f t="shared" si="27"/>
        <v>0.96300000000000008</v>
      </c>
      <c r="S297" s="64">
        <f t="shared" si="29"/>
        <v>4.7039999999999997</v>
      </c>
    </row>
    <row r="298" spans="1:19" ht="11.25" customHeight="1" x14ac:dyDescent="0.2">
      <c r="A298" s="48" t="str">
        <f t="shared" si="24"/>
        <v>2018</v>
      </c>
      <c r="B298" s="48" t="str">
        <f t="shared" si="28"/>
        <v>18 Fal</v>
      </c>
      <c r="C298" s="55" t="s">
        <v>114</v>
      </c>
      <c r="D298" s="56" t="s">
        <v>169</v>
      </c>
      <c r="E298" s="56" t="str">
        <f t="shared" si="25"/>
        <v>HSA 4170
Hlthcr Fincl Mgt 2018</v>
      </c>
      <c r="F298" s="66" t="s">
        <v>153</v>
      </c>
      <c r="G298" s="58">
        <v>27</v>
      </c>
      <c r="H298" s="59">
        <v>23</v>
      </c>
      <c r="I298" s="60" t="s">
        <v>109</v>
      </c>
      <c r="J298" s="61" t="s">
        <v>90</v>
      </c>
      <c r="K298" s="62">
        <v>0.52200000000000002</v>
      </c>
      <c r="L298" s="62">
        <v>4.2999999999999997E-2</v>
      </c>
      <c r="M298" s="62">
        <v>0.217</v>
      </c>
      <c r="N298" s="62">
        <v>0.13</v>
      </c>
      <c r="O298" s="62">
        <v>8.6999999999999994E-2</v>
      </c>
      <c r="P298" s="72">
        <f t="shared" si="26"/>
        <v>3.7800000000000007</v>
      </c>
      <c r="Q298" s="88" t="str" cm="1">
        <f t="array" ref="Q298">_xlfn.IFS(P298&gt;4,"Excelent",AND(P298&gt;3,P298&lt;=4),"Very Good",AND(P298&gt;2,P298&lt;=3),"Good",AND(P298&gt;1,P298&lt;=2),"Fair")</f>
        <v>Very Good</v>
      </c>
      <c r="R298" s="63">
        <f t="shared" si="27"/>
        <v>0.56500000000000006</v>
      </c>
      <c r="S298" s="64">
        <f t="shared" si="29"/>
        <v>4.5838749999999999</v>
      </c>
    </row>
    <row r="299" spans="1:19" ht="11.25" customHeight="1" x14ac:dyDescent="0.2">
      <c r="A299" s="48" t="str">
        <f t="shared" si="24"/>
        <v>2018</v>
      </c>
      <c r="B299" s="48" t="str">
        <f t="shared" si="28"/>
        <v>18 Fal</v>
      </c>
      <c r="C299" s="55" t="s">
        <v>114</v>
      </c>
      <c r="D299" s="56" t="s">
        <v>169</v>
      </c>
      <c r="E299" s="56" t="str">
        <f t="shared" si="25"/>
        <v>HSA 4170
Hlthcr Fincl Mgt 2018</v>
      </c>
      <c r="F299" s="66" t="s">
        <v>153</v>
      </c>
      <c r="G299" s="58">
        <v>27</v>
      </c>
      <c r="H299" s="59">
        <v>23</v>
      </c>
      <c r="I299" s="60" t="s">
        <v>109</v>
      </c>
      <c r="J299" s="61" t="s">
        <v>91</v>
      </c>
      <c r="K299" s="62">
        <v>0.47799999999999998</v>
      </c>
      <c r="L299" s="62">
        <v>4.2999999999999997E-2</v>
      </c>
      <c r="M299" s="62">
        <v>0.30399999999999999</v>
      </c>
      <c r="N299" s="62">
        <v>8.6999999999999994E-2</v>
      </c>
      <c r="O299" s="62">
        <v>8.6999999999999994E-2</v>
      </c>
      <c r="P299" s="72">
        <f t="shared" si="26"/>
        <v>3.7349999999999999</v>
      </c>
      <c r="Q299" s="88" t="str" cm="1">
        <f t="array" ref="Q299">_xlfn.IFS(P299&gt;4,"Excelent",AND(P299&gt;3,P299&lt;=4),"Very Good",AND(P299&gt;2,P299&lt;=3),"Good",AND(P299&gt;1,P299&lt;=2),"Fair")</f>
        <v>Very Good</v>
      </c>
      <c r="R299" s="63">
        <f t="shared" si="27"/>
        <v>0.52100000000000002</v>
      </c>
      <c r="S299" s="64">
        <f t="shared" si="29"/>
        <v>4.4673749999999997</v>
      </c>
    </row>
    <row r="300" spans="1:19" ht="11.25" customHeight="1" x14ac:dyDescent="0.2">
      <c r="A300" s="48" t="str">
        <f t="shared" si="24"/>
        <v>2018</v>
      </c>
      <c r="B300" s="48" t="str">
        <f t="shared" si="28"/>
        <v>18 Fal</v>
      </c>
      <c r="C300" s="55" t="s">
        <v>114</v>
      </c>
      <c r="D300" s="56" t="s">
        <v>169</v>
      </c>
      <c r="E300" s="56" t="str">
        <f t="shared" si="25"/>
        <v>HSA 4170
Hlthcr Fincl Mgt 2018</v>
      </c>
      <c r="F300" s="66" t="s">
        <v>153</v>
      </c>
      <c r="G300" s="58">
        <v>27</v>
      </c>
      <c r="H300" s="59">
        <v>23</v>
      </c>
      <c r="I300" s="60" t="s">
        <v>109</v>
      </c>
      <c r="J300" s="61" t="s">
        <v>92</v>
      </c>
      <c r="K300" s="62">
        <v>0.26100000000000001</v>
      </c>
      <c r="L300" s="62">
        <v>0.217</v>
      </c>
      <c r="M300" s="62">
        <v>0.217</v>
      </c>
      <c r="N300" s="62">
        <v>0.13</v>
      </c>
      <c r="O300" s="62">
        <v>0.17399999999999999</v>
      </c>
      <c r="P300" s="72">
        <f t="shared" si="26"/>
        <v>3.2579999999999996</v>
      </c>
      <c r="Q300" s="88" t="str" cm="1">
        <f t="array" ref="Q300">_xlfn.IFS(P300&gt;4,"Excelent",AND(P300&gt;3,P300&lt;=4),"Very Good",AND(P300&gt;2,P300&lt;=3),"Good",AND(P300&gt;1,P300&lt;=2),"Fair")</f>
        <v>Very Good</v>
      </c>
      <c r="R300" s="63">
        <f t="shared" si="27"/>
        <v>0.47799999999999998</v>
      </c>
      <c r="S300" s="64">
        <f t="shared" si="29"/>
        <v>4.2866249999999999</v>
      </c>
    </row>
    <row r="301" spans="1:19" ht="11.25" customHeight="1" x14ac:dyDescent="0.2">
      <c r="A301" s="48" t="str">
        <f t="shared" si="24"/>
        <v>2018</v>
      </c>
      <c r="B301" s="48" t="str">
        <f t="shared" si="28"/>
        <v>18 Fal</v>
      </c>
      <c r="C301" s="55" t="s">
        <v>114</v>
      </c>
      <c r="D301" s="56" t="s">
        <v>169</v>
      </c>
      <c r="E301" s="56" t="str">
        <f t="shared" si="25"/>
        <v>HSA 4170
Hlthcr Fincl Mgt 2018</v>
      </c>
      <c r="F301" s="66" t="s">
        <v>153</v>
      </c>
      <c r="G301" s="58">
        <v>27</v>
      </c>
      <c r="H301" s="59">
        <v>23</v>
      </c>
      <c r="I301" s="60" t="s">
        <v>109</v>
      </c>
      <c r="J301" s="61" t="s">
        <v>93</v>
      </c>
      <c r="K301" s="62">
        <v>0.34799999999999998</v>
      </c>
      <c r="L301" s="62">
        <v>8.6999999999999994E-2</v>
      </c>
      <c r="M301" s="62">
        <v>0.217</v>
      </c>
      <c r="N301" s="62">
        <v>0.17399999999999999</v>
      </c>
      <c r="O301" s="62">
        <v>0.17399999999999999</v>
      </c>
      <c r="P301" s="72">
        <f t="shared" si="26"/>
        <v>3.2609999999999997</v>
      </c>
      <c r="Q301" s="88" t="str" cm="1">
        <f t="array" ref="Q301">_xlfn.IFS(P301&gt;4,"Excelent",AND(P301&gt;3,P301&lt;=4),"Very Good",AND(P301&gt;2,P301&lt;=3),"Good",AND(P301&gt;1,P301&lt;=2),"Fair")</f>
        <v>Very Good</v>
      </c>
      <c r="R301" s="63">
        <f t="shared" si="27"/>
        <v>0.43499999999999994</v>
      </c>
      <c r="S301" s="64">
        <f t="shared" si="29"/>
        <v>4.1154999999999999</v>
      </c>
    </row>
    <row r="302" spans="1:19" ht="11.25" customHeight="1" x14ac:dyDescent="0.2">
      <c r="A302" s="48" t="str">
        <f t="shared" si="24"/>
        <v>2018</v>
      </c>
      <c r="B302" s="48" t="str">
        <f t="shared" si="28"/>
        <v>18 Fal</v>
      </c>
      <c r="C302" s="55" t="s">
        <v>114</v>
      </c>
      <c r="D302" s="56" t="s">
        <v>169</v>
      </c>
      <c r="E302" s="56" t="str">
        <f t="shared" si="25"/>
        <v>HSA 4170
Hlthcr Fincl Mgt 2018</v>
      </c>
      <c r="F302" s="66" t="s">
        <v>153</v>
      </c>
      <c r="G302" s="58">
        <v>27</v>
      </c>
      <c r="H302" s="59">
        <v>23</v>
      </c>
      <c r="I302" s="60" t="s">
        <v>109</v>
      </c>
      <c r="J302" s="61" t="s">
        <v>94</v>
      </c>
      <c r="K302" s="62">
        <v>0.30399999999999999</v>
      </c>
      <c r="L302" s="62">
        <v>4.2999999999999997E-2</v>
      </c>
      <c r="M302" s="62">
        <v>0.34799999999999998</v>
      </c>
      <c r="N302" s="62">
        <v>0.13</v>
      </c>
      <c r="O302" s="62">
        <v>0.17399999999999999</v>
      </c>
      <c r="P302" s="72">
        <f t="shared" si="26"/>
        <v>3.1699999999999995</v>
      </c>
      <c r="Q302" s="88" t="str" cm="1">
        <f t="array" ref="Q302">_xlfn.IFS(P302&gt;4,"Excelent",AND(P302&gt;3,P302&lt;=4),"Very Good",AND(P302&gt;2,P302&lt;=3),"Good",AND(P302&gt;1,P302&lt;=2),"Fair")</f>
        <v>Very Good</v>
      </c>
      <c r="R302" s="63">
        <f t="shared" si="27"/>
        <v>0.34699999999999998</v>
      </c>
      <c r="S302" s="64">
        <f t="shared" si="29"/>
        <v>3.9376249999999993</v>
      </c>
    </row>
    <row r="303" spans="1:19" ht="11.25" customHeight="1" x14ac:dyDescent="0.2">
      <c r="A303" s="48" t="str">
        <f t="shared" si="24"/>
        <v>2018</v>
      </c>
      <c r="B303" s="48" t="str">
        <f t="shared" si="28"/>
        <v>18 Fal</v>
      </c>
      <c r="C303" s="55" t="s">
        <v>114</v>
      </c>
      <c r="D303" s="56" t="s">
        <v>169</v>
      </c>
      <c r="E303" s="56" t="str">
        <f t="shared" si="25"/>
        <v>HSA 4170
Hlthcr Fincl Mgt 2018</v>
      </c>
      <c r="F303" s="66" t="s">
        <v>153</v>
      </c>
      <c r="G303" s="58">
        <v>27</v>
      </c>
      <c r="H303" s="59">
        <v>23</v>
      </c>
      <c r="I303" s="60" t="s">
        <v>109</v>
      </c>
      <c r="J303" s="61" t="s">
        <v>95</v>
      </c>
      <c r="K303" s="62">
        <v>0.47799999999999998</v>
      </c>
      <c r="L303" s="62">
        <v>0.30399999999999999</v>
      </c>
      <c r="M303" s="62">
        <v>8.6999999999999994E-2</v>
      </c>
      <c r="N303" s="62">
        <v>8.6999999999999994E-2</v>
      </c>
      <c r="O303" s="62">
        <v>0</v>
      </c>
      <c r="P303" s="72">
        <f t="shared" si="26"/>
        <v>4.0410000000000004</v>
      </c>
      <c r="Q303" s="88" t="str" cm="1">
        <f t="array" ref="Q303">_xlfn.IFS(P303&gt;4,"Excelent",AND(P303&gt;3,P303&lt;=4),"Very Good",AND(P303&gt;2,P303&lt;=3),"Good",AND(P303&gt;1,P303&lt;=2),"Fair")</f>
        <v>Excelent</v>
      </c>
      <c r="R303" s="63">
        <f t="shared" si="27"/>
        <v>0.78200000000000003</v>
      </c>
      <c r="S303" s="64">
        <f t="shared" si="29"/>
        <v>3.8408749999999996</v>
      </c>
    </row>
    <row r="304" spans="1:19" ht="11.25" customHeight="1" x14ac:dyDescent="0.2">
      <c r="A304" s="48" t="str">
        <f t="shared" si="24"/>
        <v>2018</v>
      </c>
      <c r="B304" s="48" t="str">
        <f t="shared" si="28"/>
        <v>18 Fal</v>
      </c>
      <c r="C304" s="55" t="s">
        <v>114</v>
      </c>
      <c r="D304" s="56" t="s">
        <v>169</v>
      </c>
      <c r="E304" s="56" t="str">
        <f t="shared" si="25"/>
        <v>HSA 4170
Hlthcr Fincl Mgt 2018</v>
      </c>
      <c r="F304" s="66" t="s">
        <v>153</v>
      </c>
      <c r="G304" s="58">
        <v>27</v>
      </c>
      <c r="H304" s="59">
        <v>23</v>
      </c>
      <c r="I304" s="60" t="s">
        <v>109</v>
      </c>
      <c r="J304" s="61" t="s">
        <v>96</v>
      </c>
      <c r="K304" s="62">
        <v>0.56499999999999995</v>
      </c>
      <c r="L304" s="62">
        <v>0.30399999999999999</v>
      </c>
      <c r="M304" s="62">
        <v>4.2999999999999997E-2</v>
      </c>
      <c r="N304" s="62">
        <v>8.6999999999999994E-2</v>
      </c>
      <c r="O304" s="62">
        <v>0</v>
      </c>
      <c r="P304" s="72">
        <f t="shared" si="26"/>
        <v>4.3440000000000003</v>
      </c>
      <c r="Q304" s="88" t="str" cm="1">
        <f t="array" ref="Q304">_xlfn.IFS(P304&gt;4,"Excelent",AND(P304&gt;3,P304&lt;=4),"Very Good",AND(P304&gt;2,P304&lt;=3),"Good",AND(P304&gt;1,P304&lt;=2),"Fair")</f>
        <v>Excelent</v>
      </c>
      <c r="R304" s="63">
        <f t="shared" si="27"/>
        <v>0.86899999999999999</v>
      </c>
      <c r="S304" s="64">
        <f t="shared" si="29"/>
        <v>3.7912499999999998</v>
      </c>
    </row>
    <row r="305" spans="1:19" ht="11.25" customHeight="1" x14ac:dyDescent="0.2">
      <c r="A305" s="48" t="str">
        <f t="shared" si="24"/>
        <v>2018</v>
      </c>
      <c r="B305" s="48" t="str">
        <f t="shared" si="28"/>
        <v>18 Fal</v>
      </c>
      <c r="C305" s="55" t="s">
        <v>114</v>
      </c>
      <c r="D305" s="56" t="s">
        <v>169</v>
      </c>
      <c r="E305" s="56" t="str">
        <f t="shared" si="25"/>
        <v>HSA 4431
Values/Ethics &amp; Conf 2018</v>
      </c>
      <c r="F305" s="66" t="s">
        <v>153</v>
      </c>
      <c r="G305" s="58">
        <v>27</v>
      </c>
      <c r="H305" s="59">
        <v>23</v>
      </c>
      <c r="I305" s="60" t="s">
        <v>109</v>
      </c>
      <c r="J305" s="61" t="s">
        <v>97</v>
      </c>
      <c r="K305" s="65">
        <v>0.30399999999999999</v>
      </c>
      <c r="L305" s="65">
        <v>0.17399999999999999</v>
      </c>
      <c r="M305" s="65">
        <v>0.26100000000000001</v>
      </c>
      <c r="N305" s="65">
        <v>0.17399999999999999</v>
      </c>
      <c r="O305" s="65">
        <v>8.6999999999999994E-2</v>
      </c>
      <c r="P305" s="72">
        <f t="shared" si="26"/>
        <v>3.4340000000000002</v>
      </c>
      <c r="Q305" s="88" t="str" cm="1">
        <f t="array" ref="Q305">_xlfn.IFS(P305&gt;4,"Excelent",AND(P305&gt;3,P305&lt;=4),"Very Good",AND(P305&gt;2,P305&lt;=3),"Good",AND(P305&gt;1,P305&lt;=2),"Fair")</f>
        <v>Very Good</v>
      </c>
      <c r="R305" s="63">
        <f t="shared" si="27"/>
        <v>0.47799999999999998</v>
      </c>
      <c r="S305" s="64">
        <f t="shared" si="29"/>
        <v>3.627875</v>
      </c>
    </row>
    <row r="306" spans="1:19" ht="11.25" customHeight="1" x14ac:dyDescent="0.2">
      <c r="A306" s="48" t="str">
        <f t="shared" si="24"/>
        <v>2018</v>
      </c>
      <c r="B306" s="48" t="str">
        <f t="shared" si="28"/>
        <v>18 Fal</v>
      </c>
      <c r="C306" s="55" t="s">
        <v>114</v>
      </c>
      <c r="D306" s="56" t="s">
        <v>170</v>
      </c>
      <c r="E306" s="56" t="str">
        <f t="shared" si="25"/>
        <v>HSA 4431
Values/Ethics &amp; Conf 2018</v>
      </c>
      <c r="F306" s="57" t="s">
        <v>117</v>
      </c>
      <c r="G306" s="58">
        <v>56</v>
      </c>
      <c r="H306" s="59">
        <v>51</v>
      </c>
      <c r="I306" s="60" t="s">
        <v>109</v>
      </c>
      <c r="J306" s="61" t="s">
        <v>90</v>
      </c>
      <c r="K306" s="62">
        <v>0.64700000000000002</v>
      </c>
      <c r="L306" s="62">
        <v>0.23499999999999999</v>
      </c>
      <c r="M306" s="62">
        <v>9.8000000000000004E-2</v>
      </c>
      <c r="N306" s="62">
        <v>0</v>
      </c>
      <c r="O306" s="62">
        <v>0.02</v>
      </c>
      <c r="P306" s="72">
        <f t="shared" si="26"/>
        <v>4.4890000000000008</v>
      </c>
      <c r="Q306" s="88" t="str" cm="1">
        <f t="array" ref="Q306">_xlfn.IFS(P306&gt;4,"Excelent",AND(P306&gt;3,P306&lt;=4),"Very Good",AND(P306&gt;2,P306&lt;=3),"Good",AND(P306&gt;1,P306&lt;=2),"Fair")</f>
        <v>Excelent</v>
      </c>
      <c r="R306" s="63">
        <f t="shared" si="27"/>
        <v>0.88200000000000001</v>
      </c>
      <c r="S306" s="64">
        <f t="shared" si="29"/>
        <v>3.7165000000000004</v>
      </c>
    </row>
    <row r="307" spans="1:19" ht="11.25" customHeight="1" x14ac:dyDescent="0.2">
      <c r="A307" s="48" t="str">
        <f t="shared" si="24"/>
        <v>2018</v>
      </c>
      <c r="B307" s="48" t="str">
        <f t="shared" si="28"/>
        <v>18 Fal</v>
      </c>
      <c r="C307" s="55" t="s">
        <v>114</v>
      </c>
      <c r="D307" s="56" t="s">
        <v>170</v>
      </c>
      <c r="E307" s="56" t="str">
        <f t="shared" si="25"/>
        <v>HSA 4431
Values/Ethics &amp; Conf 2018</v>
      </c>
      <c r="F307" s="57" t="s">
        <v>117</v>
      </c>
      <c r="G307" s="58">
        <v>56</v>
      </c>
      <c r="H307" s="59">
        <v>51</v>
      </c>
      <c r="I307" s="60" t="s">
        <v>109</v>
      </c>
      <c r="J307" s="61" t="s">
        <v>91</v>
      </c>
      <c r="K307" s="62">
        <v>0.627</v>
      </c>
      <c r="L307" s="62">
        <v>0.216</v>
      </c>
      <c r="M307" s="62">
        <v>9.8000000000000004E-2</v>
      </c>
      <c r="N307" s="62">
        <v>5.8999999999999997E-2</v>
      </c>
      <c r="O307" s="62">
        <v>0</v>
      </c>
      <c r="P307" s="72">
        <f t="shared" si="26"/>
        <v>4.4109999999999996</v>
      </c>
      <c r="Q307" s="88" t="str" cm="1">
        <f t="array" ref="Q307">_xlfn.IFS(P307&gt;4,"Excelent",AND(P307&gt;3,P307&lt;=4),"Very Good",AND(P307&gt;2,P307&lt;=3),"Good",AND(P307&gt;1,P307&lt;=2),"Fair")</f>
        <v>Excelent</v>
      </c>
      <c r="R307" s="63">
        <f t="shared" si="27"/>
        <v>0.84299999999999997</v>
      </c>
      <c r="S307" s="64">
        <f t="shared" si="29"/>
        <v>3.8010000000000002</v>
      </c>
    </row>
    <row r="308" spans="1:19" ht="11.25" customHeight="1" x14ac:dyDescent="0.2">
      <c r="A308" s="48" t="str">
        <f t="shared" si="24"/>
        <v>2018</v>
      </c>
      <c r="B308" s="48" t="str">
        <f t="shared" si="28"/>
        <v>18 Fal</v>
      </c>
      <c r="C308" s="55" t="s">
        <v>114</v>
      </c>
      <c r="D308" s="56" t="s">
        <v>170</v>
      </c>
      <c r="E308" s="56" t="str">
        <f t="shared" si="25"/>
        <v>HSA 4431
Values/Ethics &amp; Conf 2018</v>
      </c>
      <c r="F308" s="57" t="s">
        <v>117</v>
      </c>
      <c r="G308" s="58">
        <v>56</v>
      </c>
      <c r="H308" s="59">
        <v>51</v>
      </c>
      <c r="I308" s="60" t="s">
        <v>109</v>
      </c>
      <c r="J308" s="61" t="s">
        <v>92</v>
      </c>
      <c r="K308" s="62">
        <v>0.52900000000000003</v>
      </c>
      <c r="L308" s="62">
        <v>0.13700000000000001</v>
      </c>
      <c r="M308" s="62">
        <v>0.255</v>
      </c>
      <c r="N308" s="62">
        <v>5.8999999999999997E-2</v>
      </c>
      <c r="O308" s="62">
        <v>0.02</v>
      </c>
      <c r="P308" s="72">
        <f t="shared" si="26"/>
        <v>4.0960000000000001</v>
      </c>
      <c r="Q308" s="88" t="str" cm="1">
        <f t="array" ref="Q308">_xlfn.IFS(P308&gt;4,"Excelent",AND(P308&gt;3,P308&lt;=4),"Very Good",AND(P308&gt;2,P308&lt;=3),"Good",AND(P308&gt;1,P308&lt;=2),"Fair")</f>
        <v>Excelent</v>
      </c>
      <c r="R308" s="63">
        <f t="shared" si="27"/>
        <v>0.66600000000000004</v>
      </c>
      <c r="S308" s="64">
        <f t="shared" si="29"/>
        <v>3.9057499999999998</v>
      </c>
    </row>
    <row r="309" spans="1:19" ht="11.25" customHeight="1" x14ac:dyDescent="0.2">
      <c r="A309" s="48" t="str">
        <f t="shared" si="24"/>
        <v>2018</v>
      </c>
      <c r="B309" s="48" t="str">
        <f t="shared" si="28"/>
        <v>18 Fal</v>
      </c>
      <c r="C309" s="55" t="s">
        <v>114</v>
      </c>
      <c r="D309" s="56" t="s">
        <v>170</v>
      </c>
      <c r="E309" s="56" t="str">
        <f t="shared" si="25"/>
        <v>HSA 4431
Values/Ethics &amp; Conf 2018</v>
      </c>
      <c r="F309" s="57" t="s">
        <v>117</v>
      </c>
      <c r="G309" s="58">
        <v>56</v>
      </c>
      <c r="H309" s="59">
        <v>51</v>
      </c>
      <c r="I309" s="60" t="s">
        <v>109</v>
      </c>
      <c r="J309" s="61" t="s">
        <v>93</v>
      </c>
      <c r="K309" s="62">
        <v>0.627</v>
      </c>
      <c r="L309" s="62">
        <v>0.17599999999999999</v>
      </c>
      <c r="M309" s="62">
        <v>0.11799999999999999</v>
      </c>
      <c r="N309" s="62">
        <v>0</v>
      </c>
      <c r="O309" s="62">
        <v>7.8E-2</v>
      </c>
      <c r="P309" s="72">
        <f t="shared" si="26"/>
        <v>4.2709999999999999</v>
      </c>
      <c r="Q309" s="88" t="str" cm="1">
        <f t="array" ref="Q309">_xlfn.IFS(P309&gt;4,"Excelent",AND(P309&gt;3,P309&lt;=4),"Very Good",AND(P309&gt;2,P309&lt;=3),"Good",AND(P309&gt;1,P309&lt;=2),"Fair")</f>
        <v>Excelent</v>
      </c>
      <c r="R309" s="63">
        <f t="shared" si="27"/>
        <v>0.80299999999999994</v>
      </c>
      <c r="S309" s="64">
        <f t="shared" si="29"/>
        <v>4.032</v>
      </c>
    </row>
    <row r="310" spans="1:19" ht="11.25" customHeight="1" x14ac:dyDescent="0.2">
      <c r="A310" s="48" t="str">
        <f t="shared" si="24"/>
        <v>2018</v>
      </c>
      <c r="B310" s="48" t="str">
        <f t="shared" si="28"/>
        <v>18 Fal</v>
      </c>
      <c r="C310" s="55" t="s">
        <v>114</v>
      </c>
      <c r="D310" s="56" t="s">
        <v>170</v>
      </c>
      <c r="E310" s="56" t="str">
        <f t="shared" si="25"/>
        <v>HSA 4431
Values/Ethics &amp; Conf 2018</v>
      </c>
      <c r="F310" s="57" t="s">
        <v>117</v>
      </c>
      <c r="G310" s="58">
        <v>56</v>
      </c>
      <c r="H310" s="59">
        <v>51</v>
      </c>
      <c r="I310" s="60" t="s">
        <v>109</v>
      </c>
      <c r="J310" s="61" t="s">
        <v>94</v>
      </c>
      <c r="K310" s="62">
        <v>0.56899999999999995</v>
      </c>
      <c r="L310" s="62">
        <v>0.23499999999999999</v>
      </c>
      <c r="M310" s="62">
        <v>0.11799999999999999</v>
      </c>
      <c r="N310" s="62">
        <v>3.9E-2</v>
      </c>
      <c r="O310" s="62">
        <v>3.9E-2</v>
      </c>
      <c r="P310" s="72">
        <f t="shared" si="26"/>
        <v>4.2559999999999993</v>
      </c>
      <c r="Q310" s="88" t="str" cm="1">
        <f t="array" ref="Q310">_xlfn.IFS(P310&gt;4,"Excelent",AND(P310&gt;3,P310&lt;=4),"Very Good",AND(P310&gt;2,P310&lt;=3),"Good",AND(P310&gt;1,P310&lt;=2),"Fair")</f>
        <v>Excelent</v>
      </c>
      <c r="R310" s="63">
        <f t="shared" si="27"/>
        <v>0.80399999999999994</v>
      </c>
      <c r="S310" s="64">
        <f t="shared" si="29"/>
        <v>4.1677499999999998</v>
      </c>
    </row>
    <row r="311" spans="1:19" ht="11.25" customHeight="1" x14ac:dyDescent="0.2">
      <c r="A311" s="48" t="str">
        <f t="shared" si="24"/>
        <v>2018</v>
      </c>
      <c r="B311" s="48" t="str">
        <f t="shared" si="28"/>
        <v>18 Fal</v>
      </c>
      <c r="C311" s="55" t="s">
        <v>114</v>
      </c>
      <c r="D311" s="56" t="s">
        <v>170</v>
      </c>
      <c r="E311" s="56" t="str">
        <f t="shared" si="25"/>
        <v>HSA 4431
Values/Ethics &amp; Conf 2018</v>
      </c>
      <c r="F311" s="57" t="s">
        <v>117</v>
      </c>
      <c r="G311" s="58">
        <v>56</v>
      </c>
      <c r="H311" s="59">
        <v>51</v>
      </c>
      <c r="I311" s="60" t="s">
        <v>109</v>
      </c>
      <c r="J311" s="61" t="s">
        <v>95</v>
      </c>
      <c r="K311" s="62">
        <v>0.66700000000000004</v>
      </c>
      <c r="L311" s="62">
        <v>9.8000000000000004E-2</v>
      </c>
      <c r="M311" s="62">
        <v>0.216</v>
      </c>
      <c r="N311" s="62">
        <v>0.02</v>
      </c>
      <c r="O311" s="62">
        <v>0</v>
      </c>
      <c r="P311" s="72">
        <f t="shared" si="26"/>
        <v>4.415</v>
      </c>
      <c r="Q311" s="88" t="str" cm="1">
        <f t="array" ref="Q311">_xlfn.IFS(P311&gt;4,"Excelent",AND(P311&gt;3,P311&lt;=4),"Very Good",AND(P311&gt;2,P311&lt;=3),"Good",AND(P311&gt;1,P311&lt;=2),"Fair")</f>
        <v>Excelent</v>
      </c>
      <c r="R311" s="63">
        <f t="shared" si="27"/>
        <v>0.76500000000000001</v>
      </c>
      <c r="S311" s="64">
        <f t="shared" si="29"/>
        <v>4.2145000000000001</v>
      </c>
    </row>
    <row r="312" spans="1:19" ht="11.25" customHeight="1" x14ac:dyDescent="0.2">
      <c r="A312" s="48" t="str">
        <f t="shared" si="24"/>
        <v>2018</v>
      </c>
      <c r="B312" s="48" t="str">
        <f t="shared" si="28"/>
        <v>18 Fal</v>
      </c>
      <c r="C312" s="55" t="s">
        <v>114</v>
      </c>
      <c r="D312" s="56" t="s">
        <v>170</v>
      </c>
      <c r="E312" s="56" t="str">
        <f t="shared" si="25"/>
        <v>HSA 4431
Values/Ethics &amp; Conf 2018</v>
      </c>
      <c r="F312" s="57" t="s">
        <v>117</v>
      </c>
      <c r="G312" s="58">
        <v>56</v>
      </c>
      <c r="H312" s="59">
        <v>51</v>
      </c>
      <c r="I312" s="60" t="s">
        <v>109</v>
      </c>
      <c r="J312" s="61" t="s">
        <v>96</v>
      </c>
      <c r="K312" s="62">
        <v>0.745</v>
      </c>
      <c r="L312" s="62">
        <v>0.11799999999999999</v>
      </c>
      <c r="M312" s="62">
        <v>0.13700000000000001</v>
      </c>
      <c r="N312" s="62">
        <v>0</v>
      </c>
      <c r="O312" s="62">
        <v>0</v>
      </c>
      <c r="P312" s="72">
        <f t="shared" si="26"/>
        <v>4.6080000000000005</v>
      </c>
      <c r="Q312" s="88" t="str" cm="1">
        <f t="array" ref="Q312">_xlfn.IFS(P312&gt;4,"Excelent",AND(P312&gt;3,P312&lt;=4),"Very Good",AND(P312&gt;2,P312&lt;=3),"Good",AND(P312&gt;1,P312&lt;=2),"Fair")</f>
        <v>Excelent</v>
      </c>
      <c r="R312" s="63">
        <f t="shared" si="27"/>
        <v>0.86299999999999999</v>
      </c>
      <c r="S312" s="64">
        <f t="shared" si="29"/>
        <v>4.2475000000000005</v>
      </c>
    </row>
    <row r="313" spans="1:19" ht="11.25" customHeight="1" x14ac:dyDescent="0.2">
      <c r="A313" s="48" t="str">
        <f t="shared" si="24"/>
        <v>2018</v>
      </c>
      <c r="B313" s="48" t="str">
        <f t="shared" si="28"/>
        <v>18 Fal</v>
      </c>
      <c r="C313" s="55" t="s">
        <v>114</v>
      </c>
      <c r="D313" s="56" t="s">
        <v>170</v>
      </c>
      <c r="E313" s="56" t="str">
        <f t="shared" si="25"/>
        <v>HSA 4700 Qlty Evdn Bsd Hlthcr Srvcs 2018</v>
      </c>
      <c r="F313" s="57" t="s">
        <v>117</v>
      </c>
      <c r="G313" s="58">
        <v>56</v>
      </c>
      <c r="H313" s="59">
        <v>51</v>
      </c>
      <c r="I313" s="60" t="s">
        <v>109</v>
      </c>
      <c r="J313" s="61" t="s">
        <v>97</v>
      </c>
      <c r="K313" s="65">
        <v>0.627</v>
      </c>
      <c r="L313" s="65">
        <v>0.216</v>
      </c>
      <c r="M313" s="65">
        <v>0.13700000000000001</v>
      </c>
      <c r="N313" s="65">
        <v>0.02</v>
      </c>
      <c r="O313" s="65">
        <v>0</v>
      </c>
      <c r="P313" s="72">
        <f t="shared" si="26"/>
        <v>4.45</v>
      </c>
      <c r="Q313" s="88" t="str" cm="1">
        <f t="array" ref="Q313">_xlfn.IFS(P313&gt;4,"Excelent",AND(P313&gt;3,P313&lt;=4),"Very Good",AND(P313&gt;2,P313&lt;=3),"Good",AND(P313&gt;1,P313&lt;=2),"Fair")</f>
        <v>Excelent</v>
      </c>
      <c r="R313" s="63">
        <f t="shared" si="27"/>
        <v>0.84299999999999997</v>
      </c>
      <c r="S313" s="64">
        <f t="shared" si="29"/>
        <v>4.3745000000000003</v>
      </c>
    </row>
    <row r="314" spans="1:19" ht="11.25" customHeight="1" x14ac:dyDescent="0.2">
      <c r="A314" s="48" t="str">
        <f t="shared" si="24"/>
        <v>2018</v>
      </c>
      <c r="B314" s="48" t="str">
        <f t="shared" si="28"/>
        <v>18 Fal</v>
      </c>
      <c r="C314" s="55" t="s">
        <v>114</v>
      </c>
      <c r="D314" s="55" t="s">
        <v>98</v>
      </c>
      <c r="E314" s="56" t="str">
        <f t="shared" si="25"/>
        <v>HSA 4700 Qlty Evdn Bsd Hlthcr Srvcs 2018</v>
      </c>
      <c r="F314" s="57" t="s">
        <v>99</v>
      </c>
      <c r="G314" s="58">
        <v>92</v>
      </c>
      <c r="H314" s="59">
        <v>71</v>
      </c>
      <c r="I314" s="60" t="s">
        <v>111</v>
      </c>
      <c r="J314" s="61" t="s">
        <v>90</v>
      </c>
      <c r="K314" s="62">
        <v>0.45100000000000001</v>
      </c>
      <c r="L314" s="62">
        <v>0.23899999999999999</v>
      </c>
      <c r="M314" s="62">
        <v>0.22500000000000001</v>
      </c>
      <c r="N314" s="62">
        <v>8.5000000000000006E-2</v>
      </c>
      <c r="O314" s="62">
        <v>0</v>
      </c>
      <c r="P314" s="72">
        <f t="shared" si="26"/>
        <v>4.056</v>
      </c>
      <c r="Q314" s="88" t="str" cm="1">
        <f t="array" ref="Q314">_xlfn.IFS(P314&gt;4,"Excelent",AND(P314&gt;3,P314&lt;=4),"Very Good",AND(P314&gt;2,P314&lt;=3),"Good",AND(P314&gt;1,P314&lt;=2),"Fair")</f>
        <v>Excelent</v>
      </c>
      <c r="R314" s="63">
        <f t="shared" si="27"/>
        <v>0.69</v>
      </c>
      <c r="S314" s="64">
        <f t="shared" si="29"/>
        <v>4.3203749999999994</v>
      </c>
    </row>
    <row r="315" spans="1:19" ht="11.25" customHeight="1" x14ac:dyDescent="0.2">
      <c r="A315" s="48" t="str">
        <f t="shared" si="24"/>
        <v>2018</v>
      </c>
      <c r="B315" s="48" t="str">
        <f t="shared" si="28"/>
        <v>18 Fal</v>
      </c>
      <c r="C315" s="55" t="s">
        <v>114</v>
      </c>
      <c r="D315" s="55" t="s">
        <v>98</v>
      </c>
      <c r="E315" s="56" t="str">
        <f t="shared" si="25"/>
        <v>HSA 4700 Qlty Evdn Bsd Hlthcr Srvcs 2018</v>
      </c>
      <c r="F315" s="57" t="s">
        <v>99</v>
      </c>
      <c r="G315" s="58">
        <v>92</v>
      </c>
      <c r="H315" s="59">
        <v>71</v>
      </c>
      <c r="I315" s="60" t="s">
        <v>111</v>
      </c>
      <c r="J315" s="61" t="s">
        <v>91</v>
      </c>
      <c r="K315" s="62">
        <v>0.52100000000000002</v>
      </c>
      <c r="L315" s="62">
        <v>0.16900000000000001</v>
      </c>
      <c r="M315" s="62">
        <v>0.23899999999999999</v>
      </c>
      <c r="N315" s="62">
        <v>5.6000000000000001E-2</v>
      </c>
      <c r="O315" s="62">
        <v>1.4E-2</v>
      </c>
      <c r="P315" s="72">
        <f t="shared" si="26"/>
        <v>4.1240000000000006</v>
      </c>
      <c r="Q315" s="88" t="str" cm="1">
        <f t="array" ref="Q315">_xlfn.IFS(P315&gt;4,"Excelent",AND(P315&gt;3,P315&lt;=4),"Very Good",AND(P315&gt;2,P315&lt;=3),"Good",AND(P315&gt;1,P315&lt;=2),"Fair")</f>
        <v>Excelent</v>
      </c>
      <c r="R315" s="63">
        <f t="shared" si="27"/>
        <v>0.69000000000000006</v>
      </c>
      <c r="S315" s="64">
        <f t="shared" si="29"/>
        <v>4.2845000000000004</v>
      </c>
    </row>
    <row r="316" spans="1:19" ht="11.25" customHeight="1" x14ac:dyDescent="0.2">
      <c r="A316" s="48" t="str">
        <f t="shared" si="24"/>
        <v>2018</v>
      </c>
      <c r="B316" s="48" t="str">
        <f t="shared" si="28"/>
        <v>18 Fal</v>
      </c>
      <c r="C316" s="55" t="s">
        <v>114</v>
      </c>
      <c r="D316" s="55" t="s">
        <v>98</v>
      </c>
      <c r="E316" s="56" t="str">
        <f t="shared" si="25"/>
        <v>HSA 4700 Qlty Evdn Bsd Hlthcr Srvcs 2018</v>
      </c>
      <c r="F316" s="57" t="s">
        <v>99</v>
      </c>
      <c r="G316" s="58">
        <v>92</v>
      </c>
      <c r="H316" s="59">
        <v>71</v>
      </c>
      <c r="I316" s="60" t="s">
        <v>111</v>
      </c>
      <c r="J316" s="61" t="s">
        <v>92</v>
      </c>
      <c r="K316" s="62">
        <v>0.47899999999999998</v>
      </c>
      <c r="L316" s="62">
        <v>0.14099999999999999</v>
      </c>
      <c r="M316" s="62">
        <v>0.23899999999999999</v>
      </c>
      <c r="N316" s="62">
        <v>0.113</v>
      </c>
      <c r="O316" s="62">
        <v>1.4E-2</v>
      </c>
      <c r="P316" s="72">
        <f t="shared" si="26"/>
        <v>3.9159999999999999</v>
      </c>
      <c r="Q316" s="88" t="str" cm="1">
        <f t="array" ref="Q316">_xlfn.IFS(P316&gt;4,"Excelent",AND(P316&gt;3,P316&lt;=4),"Very Good",AND(P316&gt;2,P316&lt;=3),"Good",AND(P316&gt;1,P316&lt;=2),"Fair")</f>
        <v>Very Good</v>
      </c>
      <c r="R316" s="63">
        <f t="shared" si="27"/>
        <v>0.62</v>
      </c>
      <c r="S316" s="64">
        <f t="shared" si="29"/>
        <v>4.2619999999999996</v>
      </c>
    </row>
    <row r="317" spans="1:19" ht="11.25" customHeight="1" x14ac:dyDescent="0.2">
      <c r="A317" s="48" t="str">
        <f t="shared" si="24"/>
        <v>2018</v>
      </c>
      <c r="B317" s="48" t="str">
        <f t="shared" si="28"/>
        <v>18 Fal</v>
      </c>
      <c r="C317" s="55" t="s">
        <v>114</v>
      </c>
      <c r="D317" s="55" t="s">
        <v>98</v>
      </c>
      <c r="E317" s="56" t="str">
        <f t="shared" si="25"/>
        <v>HSA 4700 Qlty Evdn Bsd Hlthcr Srvcs 2018</v>
      </c>
      <c r="F317" s="57" t="s">
        <v>99</v>
      </c>
      <c r="G317" s="58">
        <v>92</v>
      </c>
      <c r="H317" s="59">
        <v>71</v>
      </c>
      <c r="I317" s="60" t="s">
        <v>111</v>
      </c>
      <c r="J317" s="61" t="s">
        <v>93</v>
      </c>
      <c r="K317" s="62">
        <v>0.46500000000000002</v>
      </c>
      <c r="L317" s="62">
        <v>0.14099999999999999</v>
      </c>
      <c r="M317" s="62">
        <v>0.26800000000000002</v>
      </c>
      <c r="N317" s="62">
        <v>2.8000000000000001E-2</v>
      </c>
      <c r="O317" s="62">
        <v>7.0000000000000007E-2</v>
      </c>
      <c r="P317" s="72">
        <f t="shared" si="26"/>
        <v>3.8190000000000004</v>
      </c>
      <c r="Q317" s="88" t="str" cm="1">
        <f t="array" ref="Q317">_xlfn.IFS(P317&gt;4,"Excelent",AND(P317&gt;3,P317&lt;=4),"Very Good",AND(P317&gt;2,P317&lt;=3),"Good",AND(P317&gt;1,P317&lt;=2),"Fair")</f>
        <v>Very Good</v>
      </c>
      <c r="R317" s="63">
        <f t="shared" si="27"/>
        <v>0.60599999999999998</v>
      </c>
      <c r="S317" s="64">
        <f t="shared" si="29"/>
        <v>4.2054999999999998</v>
      </c>
    </row>
    <row r="318" spans="1:19" ht="11.25" customHeight="1" x14ac:dyDescent="0.2">
      <c r="A318" s="48" t="str">
        <f t="shared" si="24"/>
        <v>2018</v>
      </c>
      <c r="B318" s="48" t="str">
        <f t="shared" si="28"/>
        <v>18 Fal</v>
      </c>
      <c r="C318" s="55" t="s">
        <v>114</v>
      </c>
      <c r="D318" s="55" t="s">
        <v>98</v>
      </c>
      <c r="E318" s="56" t="str">
        <f t="shared" si="25"/>
        <v>HSA 4700 Qlty Evdn Bsd Hlthcr Srvcs 2018</v>
      </c>
      <c r="F318" s="57" t="s">
        <v>99</v>
      </c>
      <c r="G318" s="58">
        <v>92</v>
      </c>
      <c r="H318" s="59">
        <v>71</v>
      </c>
      <c r="I318" s="60" t="s">
        <v>111</v>
      </c>
      <c r="J318" s="61" t="s">
        <v>94</v>
      </c>
      <c r="K318" s="62">
        <v>0.45100000000000001</v>
      </c>
      <c r="L318" s="62">
        <v>0.14099999999999999</v>
      </c>
      <c r="M318" s="62">
        <v>0.28199999999999997</v>
      </c>
      <c r="N318" s="62">
        <v>7.0000000000000007E-2</v>
      </c>
      <c r="O318" s="62">
        <v>2.8000000000000001E-2</v>
      </c>
      <c r="P318" s="72">
        <f t="shared" si="26"/>
        <v>3.8330000000000002</v>
      </c>
      <c r="Q318" s="88" t="str" cm="1">
        <f t="array" ref="Q318">_xlfn.IFS(P318&gt;4,"Excelent",AND(P318&gt;3,P318&lt;=4),"Very Good",AND(P318&gt;2,P318&lt;=3),"Good",AND(P318&gt;1,P318&lt;=2),"Fair")</f>
        <v>Very Good</v>
      </c>
      <c r="R318" s="63">
        <f t="shared" si="27"/>
        <v>0.59199999999999997</v>
      </c>
      <c r="S318" s="64">
        <f t="shared" si="29"/>
        <v>4.1526249999999996</v>
      </c>
    </row>
    <row r="319" spans="1:19" ht="11.25" customHeight="1" x14ac:dyDescent="0.2">
      <c r="A319" s="48" t="str">
        <f t="shared" si="24"/>
        <v>2018</v>
      </c>
      <c r="B319" s="48" t="str">
        <f t="shared" si="28"/>
        <v>18 Fal</v>
      </c>
      <c r="C319" s="55" t="s">
        <v>114</v>
      </c>
      <c r="D319" s="55" t="s">
        <v>98</v>
      </c>
      <c r="E319" s="56" t="str">
        <f t="shared" si="25"/>
        <v>HSA 4700 Qlty Evdn Bsd Hlthcr Srvcs 2018</v>
      </c>
      <c r="F319" s="57" t="s">
        <v>99</v>
      </c>
      <c r="G319" s="58">
        <v>92</v>
      </c>
      <c r="H319" s="59">
        <v>71</v>
      </c>
      <c r="I319" s="60" t="s">
        <v>111</v>
      </c>
      <c r="J319" s="61" t="s">
        <v>95</v>
      </c>
      <c r="K319" s="62">
        <v>0.52100000000000002</v>
      </c>
      <c r="L319" s="62">
        <v>0.113</v>
      </c>
      <c r="M319" s="62">
        <v>0.183</v>
      </c>
      <c r="N319" s="62">
        <v>9.9000000000000005E-2</v>
      </c>
      <c r="O319" s="62">
        <v>4.2000000000000003E-2</v>
      </c>
      <c r="P319" s="72">
        <f t="shared" si="26"/>
        <v>3.8459999999999996</v>
      </c>
      <c r="Q319" s="88" t="str" cm="1">
        <f t="array" ref="Q319">_xlfn.IFS(P319&gt;4,"Excelent",AND(P319&gt;3,P319&lt;=4),"Very Good",AND(P319&gt;2,P319&lt;=3),"Good",AND(P319&gt;1,P319&lt;=2),"Fair")</f>
        <v>Very Good</v>
      </c>
      <c r="R319" s="63">
        <f t="shared" si="27"/>
        <v>0.63400000000000001</v>
      </c>
      <c r="S319" s="64">
        <f t="shared" si="29"/>
        <v>4.0814999999999992</v>
      </c>
    </row>
    <row r="320" spans="1:19" ht="11.25" customHeight="1" x14ac:dyDescent="0.2">
      <c r="A320" s="48" t="str">
        <f t="shared" si="24"/>
        <v>2018</v>
      </c>
      <c r="B320" s="48" t="str">
        <f t="shared" si="28"/>
        <v>18 Fal</v>
      </c>
      <c r="C320" s="55" t="s">
        <v>114</v>
      </c>
      <c r="D320" s="55" t="s">
        <v>98</v>
      </c>
      <c r="E320" s="56" t="str">
        <f t="shared" si="25"/>
        <v>HSA 4700 Qlty Evdn Bsd Hlthcr Srvcs 2018</v>
      </c>
      <c r="F320" s="57" t="s">
        <v>99</v>
      </c>
      <c r="G320" s="58">
        <v>92</v>
      </c>
      <c r="H320" s="59">
        <v>71</v>
      </c>
      <c r="I320" s="60" t="s">
        <v>111</v>
      </c>
      <c r="J320" s="61" t="s">
        <v>96</v>
      </c>
      <c r="K320" s="62">
        <v>0.52100000000000002</v>
      </c>
      <c r="L320" s="62">
        <v>8.5000000000000006E-2</v>
      </c>
      <c r="M320" s="62">
        <v>0.23899999999999999</v>
      </c>
      <c r="N320" s="62">
        <v>5.6000000000000001E-2</v>
      </c>
      <c r="O320" s="62">
        <v>5.6000000000000001E-2</v>
      </c>
      <c r="P320" s="72">
        <f t="shared" si="26"/>
        <v>3.83</v>
      </c>
      <c r="Q320" s="88" t="str" cm="1">
        <f t="array" ref="Q320">_xlfn.IFS(P320&gt;4,"Excelent",AND(P320&gt;3,P320&lt;=4),"Very Good",AND(P320&gt;2,P320&lt;=3),"Good",AND(P320&gt;1,P320&lt;=2),"Fair")</f>
        <v>Very Good</v>
      </c>
      <c r="R320" s="63">
        <f t="shared" si="27"/>
        <v>0.60599999999999998</v>
      </c>
      <c r="S320" s="64">
        <f t="shared" si="29"/>
        <v>3.9842500000000003</v>
      </c>
    </row>
    <row r="321" spans="1:19" ht="11.25" customHeight="1" x14ac:dyDescent="0.2">
      <c r="A321" s="48" t="str">
        <f t="shared" si="24"/>
        <v>2018</v>
      </c>
      <c r="B321" s="48" t="str">
        <f t="shared" si="28"/>
        <v>18 Fal</v>
      </c>
      <c r="C321" s="55" t="s">
        <v>114</v>
      </c>
      <c r="D321" s="55" t="s">
        <v>98</v>
      </c>
      <c r="E321" s="56" t="str">
        <f t="shared" si="25"/>
        <v xml:space="preserve"> 2018</v>
      </c>
      <c r="F321" s="57" t="s">
        <v>99</v>
      </c>
      <c r="G321" s="58">
        <v>92</v>
      </c>
      <c r="H321" s="59">
        <v>71</v>
      </c>
      <c r="I321" s="60" t="s">
        <v>111</v>
      </c>
      <c r="J321" s="61" t="s">
        <v>97</v>
      </c>
      <c r="K321" s="65">
        <v>0.47899999999999998</v>
      </c>
      <c r="L321" s="65">
        <v>0.127</v>
      </c>
      <c r="M321" s="65">
        <v>0.254</v>
      </c>
      <c r="N321" s="65">
        <v>0.113</v>
      </c>
      <c r="O321" s="65">
        <v>2.8000000000000001E-2</v>
      </c>
      <c r="P321" s="72">
        <f t="shared" si="26"/>
        <v>3.919</v>
      </c>
      <c r="Q321" s="88" t="str" cm="1">
        <f t="array" ref="Q321">_xlfn.IFS(P321&gt;4,"Excelent",AND(P321&gt;3,P321&lt;=4),"Very Good",AND(P321&gt;2,P321&lt;=3),"Good",AND(P321&gt;1,P321&lt;=2),"Fair")</f>
        <v>Very Good</v>
      </c>
      <c r="R321" s="63">
        <f t="shared" si="27"/>
        <v>0.60599999999999998</v>
      </c>
      <c r="S321" s="64">
        <f t="shared" si="29"/>
        <v>3.917875</v>
      </c>
    </row>
    <row r="322" spans="1:19" ht="11.25" customHeight="1" x14ac:dyDescent="0.2">
      <c r="S322" s="64">
        <f>AVERAGE((S290:S321))</f>
        <v>4.2069296874999997</v>
      </c>
    </row>
  </sheetData>
  <autoFilter ref="A1:R321" xr:uid="{3F31B21A-14BB-4B19-ABE6-717BEF1BA589}"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5609-360D-4594-B2F5-9D1613545B8C}">
  <dimension ref="A4:I15"/>
  <sheetViews>
    <sheetView workbookViewId="0">
      <selection activeCell="A20" sqref="A20"/>
    </sheetView>
  </sheetViews>
  <sheetFormatPr defaultRowHeight="12.75" x14ac:dyDescent="0.2"/>
  <cols>
    <col min="1" max="1" width="39.5" bestFit="1" customWidth="1"/>
    <col min="2" max="2" width="18.1640625" bestFit="1" customWidth="1"/>
    <col min="3" max="3" width="11.6640625" bestFit="1" customWidth="1"/>
    <col min="4" max="4" width="14.1640625" bestFit="1" customWidth="1"/>
    <col min="5" max="5" width="10.5" bestFit="1" customWidth="1"/>
    <col min="6" max="6" width="9.33203125" bestFit="1" customWidth="1"/>
    <col min="7" max="7" width="8.1640625" bestFit="1" customWidth="1"/>
    <col min="8" max="8" width="14.1640625" bestFit="1" customWidth="1"/>
    <col min="9" max="9" width="58.83203125" bestFit="1" customWidth="1"/>
    <col min="10" max="10" width="14.1640625" bestFit="1" customWidth="1"/>
  </cols>
  <sheetData>
    <row r="4" spans="1:9" x14ac:dyDescent="0.2">
      <c r="A4" s="37" t="s">
        <v>188</v>
      </c>
      <c r="B4" t="s">
        <v>175</v>
      </c>
      <c r="I4" s="74" t="s">
        <v>184</v>
      </c>
    </row>
    <row r="5" spans="1:9" x14ac:dyDescent="0.2">
      <c r="I5" s="74" t="s">
        <v>185</v>
      </c>
    </row>
    <row r="6" spans="1:9" x14ac:dyDescent="0.2">
      <c r="A6" s="37" t="s">
        <v>101</v>
      </c>
      <c r="B6" t="s">
        <v>174</v>
      </c>
    </row>
    <row r="7" spans="1:9" x14ac:dyDescent="0.2">
      <c r="A7" t="s">
        <v>183</v>
      </c>
      <c r="B7" s="73">
        <v>3.627875</v>
      </c>
    </row>
    <row r="8" spans="1:9" x14ac:dyDescent="0.2">
      <c r="A8" t="s">
        <v>186</v>
      </c>
      <c r="B8" s="73">
        <v>3.7732499999999991</v>
      </c>
    </row>
    <row r="9" spans="1:9" x14ac:dyDescent="0.2">
      <c r="A9" t="s">
        <v>98</v>
      </c>
      <c r="B9" s="73">
        <v>3.917875</v>
      </c>
    </row>
    <row r="10" spans="1:9" x14ac:dyDescent="0.2">
      <c r="A10" t="s">
        <v>103</v>
      </c>
      <c r="B10" s="73">
        <v>4.0641527777777773</v>
      </c>
    </row>
    <row r="11" spans="1:9" x14ac:dyDescent="0.2">
      <c r="A11" t="s">
        <v>104</v>
      </c>
      <c r="B11" s="73">
        <v>4.2464750000000011</v>
      </c>
    </row>
    <row r="12" spans="1:9" x14ac:dyDescent="0.2">
      <c r="A12" t="s">
        <v>187</v>
      </c>
      <c r="B12" s="73">
        <v>4.3744999999999994</v>
      </c>
    </row>
    <row r="13" spans="1:9" x14ac:dyDescent="0.2">
      <c r="A13" t="s">
        <v>173</v>
      </c>
      <c r="B13" s="73">
        <v>4.4107499999999993</v>
      </c>
    </row>
    <row r="14" spans="1:9" x14ac:dyDescent="0.2">
      <c r="A14" t="s">
        <v>172</v>
      </c>
      <c r="B14" s="73">
        <v>4.7039999999999997</v>
      </c>
    </row>
    <row r="15" spans="1:9" x14ac:dyDescent="0.2">
      <c r="A15" t="s">
        <v>102</v>
      </c>
      <c r="B15" s="73">
        <v>4.1138690476190476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E80F-44D7-46AB-8965-EA00D2BC43AD}">
  <dimension ref="A2:B11"/>
  <sheetViews>
    <sheetView tabSelected="1" topLeftCell="A10" workbookViewId="0">
      <selection activeCell="A19" sqref="A19"/>
    </sheetView>
  </sheetViews>
  <sheetFormatPr defaultRowHeight="12.75" x14ac:dyDescent="0.2"/>
  <cols>
    <col min="1" max="1" width="52" bestFit="1" customWidth="1"/>
    <col min="2" max="2" width="18.1640625" bestFit="1" customWidth="1"/>
    <col min="3" max="3" width="14.1640625" bestFit="1" customWidth="1"/>
    <col min="4" max="4" width="12.1640625" bestFit="1" customWidth="1"/>
    <col min="5" max="5" width="10.5" bestFit="1" customWidth="1"/>
    <col min="6" max="6" width="12.1640625" bestFit="1" customWidth="1"/>
    <col min="7" max="7" width="8.1640625" bestFit="1" customWidth="1"/>
    <col min="8" max="8" width="14.1640625" bestFit="1" customWidth="1"/>
    <col min="9" max="9" width="12.83203125" bestFit="1" customWidth="1"/>
  </cols>
  <sheetData>
    <row r="2" spans="1:2" x14ac:dyDescent="0.2">
      <c r="A2" s="37" t="s">
        <v>188</v>
      </c>
      <c r="B2" t="s">
        <v>175</v>
      </c>
    </row>
    <row r="4" spans="1:2" x14ac:dyDescent="0.2">
      <c r="A4" s="37" t="s">
        <v>101</v>
      </c>
      <c r="B4" t="s">
        <v>174</v>
      </c>
    </row>
    <row r="5" spans="1:2" x14ac:dyDescent="0.2">
      <c r="A5" t="s">
        <v>94</v>
      </c>
      <c r="B5" s="73">
        <v>4.0536190476190468</v>
      </c>
    </row>
    <row r="6" spans="1:2" x14ac:dyDescent="0.2">
      <c r="A6" t="s">
        <v>95</v>
      </c>
      <c r="B6" s="73">
        <v>4.1076666666666668</v>
      </c>
    </row>
    <row r="7" spans="1:2" x14ac:dyDescent="0.2">
      <c r="A7" t="s">
        <v>90</v>
      </c>
      <c r="B7" s="73">
        <v>4.114809523809523</v>
      </c>
    </row>
    <row r="8" spans="1:2" x14ac:dyDescent="0.2">
      <c r="A8" t="s">
        <v>91</v>
      </c>
      <c r="B8" s="73">
        <v>4.1281904761904764</v>
      </c>
    </row>
    <row r="9" spans="1:2" x14ac:dyDescent="0.2">
      <c r="A9" t="s">
        <v>97</v>
      </c>
      <c r="B9" s="73">
        <v>4.1940952380952377</v>
      </c>
    </row>
    <row r="10" spans="1:2" x14ac:dyDescent="0.2">
      <c r="A10" t="s">
        <v>96</v>
      </c>
      <c r="B10" s="73">
        <v>4.3480952380952385</v>
      </c>
    </row>
    <row r="11" spans="1:2" x14ac:dyDescent="0.2">
      <c r="A11" t="s">
        <v>102</v>
      </c>
      <c r="B11" s="73">
        <v>4.1577460317460311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F8C16-81DA-4816-B7F0-70802EA86142}">
  <dimension ref="A2:B12"/>
  <sheetViews>
    <sheetView workbookViewId="0">
      <selection activeCell="Q8" sqref="Q8"/>
    </sheetView>
  </sheetViews>
  <sheetFormatPr defaultRowHeight="12.75" x14ac:dyDescent="0.2"/>
  <cols>
    <col min="1" max="1" width="34" bestFit="1" customWidth="1"/>
    <col min="2" max="2" width="18.1640625" bestFit="1" customWidth="1"/>
    <col min="3" max="3" width="7" bestFit="1" customWidth="1"/>
    <col min="4" max="4" width="8.1640625" bestFit="1" customWidth="1"/>
    <col min="5" max="5" width="7" bestFit="1" customWidth="1"/>
    <col min="6" max="6" width="5.83203125" bestFit="1" customWidth="1"/>
    <col min="7" max="9" width="14.1640625" bestFit="1" customWidth="1"/>
  </cols>
  <sheetData>
    <row r="2" spans="1:2" x14ac:dyDescent="0.2">
      <c r="A2" s="37" t="s">
        <v>188</v>
      </c>
      <c r="B2" t="s">
        <v>175</v>
      </c>
    </row>
    <row r="4" spans="1:2" x14ac:dyDescent="0.2">
      <c r="A4" s="37" t="s">
        <v>101</v>
      </c>
      <c r="B4" t="s">
        <v>174</v>
      </c>
    </row>
    <row r="5" spans="1:2" x14ac:dyDescent="0.2">
      <c r="A5" t="s">
        <v>97</v>
      </c>
      <c r="B5" s="73">
        <v>4.2926666666666664</v>
      </c>
    </row>
    <row r="6" spans="1:2" x14ac:dyDescent="0.2">
      <c r="A6" s="86" t="s">
        <v>176</v>
      </c>
      <c r="B6" s="73">
        <v>4.1360000000000001</v>
      </c>
    </row>
    <row r="7" spans="1:2" x14ac:dyDescent="0.2">
      <c r="A7" s="86" t="s">
        <v>177</v>
      </c>
      <c r="B7" s="73">
        <v>4.2849999999999993</v>
      </c>
    </row>
    <row r="8" spans="1:2" x14ac:dyDescent="0.2">
      <c r="A8" s="86" t="s">
        <v>178</v>
      </c>
      <c r="B8" s="73">
        <v>4.1515000000000004</v>
      </c>
    </row>
    <row r="9" spans="1:2" x14ac:dyDescent="0.2">
      <c r="A9" s="86" t="s">
        <v>179</v>
      </c>
      <c r="B9" s="73">
        <v>4.5340000000000007</v>
      </c>
    </row>
    <row r="10" spans="1:2" x14ac:dyDescent="0.2">
      <c r="A10" s="86" t="s">
        <v>180</v>
      </c>
      <c r="B10" s="73">
        <v>4.6000000000000005</v>
      </c>
    </row>
    <row r="11" spans="1:2" x14ac:dyDescent="0.2">
      <c r="A11" s="86" t="s">
        <v>181</v>
      </c>
      <c r="B11" s="73">
        <v>4.1876666666666669</v>
      </c>
    </row>
    <row r="12" spans="1:2" x14ac:dyDescent="0.2">
      <c r="A12" t="s">
        <v>102</v>
      </c>
      <c r="B12" s="73">
        <v>4.2926666666666664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6534-418F-420C-B6DF-02200B800034}">
  <dimension ref="A2:B12"/>
  <sheetViews>
    <sheetView workbookViewId="0">
      <selection activeCell="C14" sqref="C14"/>
    </sheetView>
  </sheetViews>
  <sheetFormatPr defaultRowHeight="12.75" x14ac:dyDescent="0.2"/>
  <cols>
    <col min="1" max="1" width="14.1640625" bestFit="1" customWidth="1"/>
    <col min="2" max="2" width="18.1640625" bestFit="1" customWidth="1"/>
    <col min="3" max="3" width="16" bestFit="1" customWidth="1"/>
    <col min="4" max="5" width="14.1640625" bestFit="1" customWidth="1"/>
    <col min="6" max="6" width="9.33203125" bestFit="1" customWidth="1"/>
    <col min="7" max="7" width="8.1640625" bestFit="1" customWidth="1"/>
    <col min="8" max="8" width="14.1640625" bestFit="1" customWidth="1"/>
    <col min="9" max="9" width="12.83203125" bestFit="1" customWidth="1"/>
  </cols>
  <sheetData>
    <row r="2" spans="1:2" x14ac:dyDescent="0.2">
      <c r="A2" s="37" t="s">
        <v>188</v>
      </c>
      <c r="B2" t="s">
        <v>175</v>
      </c>
    </row>
    <row r="4" spans="1:2" x14ac:dyDescent="0.2">
      <c r="A4" s="37" t="s">
        <v>101</v>
      </c>
      <c r="B4" t="s">
        <v>174</v>
      </c>
    </row>
    <row r="5" spans="1:2" x14ac:dyDescent="0.2">
      <c r="A5" t="s">
        <v>176</v>
      </c>
      <c r="B5" s="73">
        <v>4.1560624999999991</v>
      </c>
    </row>
    <row r="6" spans="1:2" x14ac:dyDescent="0.2">
      <c r="A6" t="s">
        <v>177</v>
      </c>
      <c r="B6" s="73">
        <v>4.4107499999999993</v>
      </c>
    </row>
    <row r="7" spans="1:2" x14ac:dyDescent="0.2">
      <c r="A7" t="s">
        <v>178</v>
      </c>
      <c r="B7" s="73">
        <v>4.1338125000000012</v>
      </c>
    </row>
    <row r="8" spans="1:2" x14ac:dyDescent="0.2">
      <c r="A8" t="s">
        <v>179</v>
      </c>
      <c r="B8" s="73">
        <v>4.4905250000000017</v>
      </c>
    </row>
    <row r="9" spans="1:2" x14ac:dyDescent="0.2">
      <c r="A9" t="s">
        <v>180</v>
      </c>
      <c r="B9" s="73">
        <v>4.3875000000000002</v>
      </c>
    </row>
    <row r="10" spans="1:2" x14ac:dyDescent="0.2">
      <c r="A10" t="s">
        <v>181</v>
      </c>
      <c r="B10" s="73">
        <v>3.8388749999999994</v>
      </c>
    </row>
    <row r="11" spans="1:2" x14ac:dyDescent="0.2">
      <c r="A11" t="s">
        <v>182</v>
      </c>
      <c r="B11" s="73">
        <v>3.4880833333333325</v>
      </c>
    </row>
    <row r="12" spans="1:2" x14ac:dyDescent="0.2">
      <c r="A12" t="s">
        <v>102</v>
      </c>
      <c r="B12" s="73">
        <v>4.1138690476190432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19616-0E8D-48F0-BC07-BED4ACC5B945}">
  <dimension ref="A1:B17"/>
  <sheetViews>
    <sheetView workbookViewId="0">
      <selection activeCell="I26" sqref="I26"/>
    </sheetView>
  </sheetViews>
  <sheetFormatPr defaultRowHeight="12.75" x14ac:dyDescent="0.2"/>
  <cols>
    <col min="1" max="1" width="14.1640625" bestFit="1" customWidth="1"/>
    <col min="2" max="2" width="16.83203125" bestFit="1" customWidth="1"/>
  </cols>
  <sheetData>
    <row r="1" spans="1:2" x14ac:dyDescent="0.2">
      <c r="A1" s="37" t="s">
        <v>101</v>
      </c>
      <c r="B1" t="s">
        <v>174</v>
      </c>
    </row>
    <row r="2" spans="1:2" x14ac:dyDescent="0.2">
      <c r="A2" t="s">
        <v>191</v>
      </c>
      <c r="B2" s="73">
        <v>4.1560625000000018</v>
      </c>
    </row>
    <row r="3" spans="1:2" x14ac:dyDescent="0.2">
      <c r="A3" t="s">
        <v>192</v>
      </c>
      <c r="B3" s="73">
        <v>4.4107499999999993</v>
      </c>
    </row>
    <row r="4" spans="1:2" x14ac:dyDescent="0.2">
      <c r="A4" t="s">
        <v>193</v>
      </c>
      <c r="B4" s="73">
        <v>3.2722500000000001</v>
      </c>
    </row>
    <row r="5" spans="1:2" x14ac:dyDescent="0.2">
      <c r="A5" t="s">
        <v>194</v>
      </c>
      <c r="B5" s="73">
        <v>3.1672187499999995</v>
      </c>
    </row>
    <row r="6" spans="1:2" x14ac:dyDescent="0.2">
      <c r="A6" t="s">
        <v>195</v>
      </c>
      <c r="B6" s="73">
        <v>3.411</v>
      </c>
    </row>
    <row r="7" spans="1:2" x14ac:dyDescent="0.2">
      <c r="A7" t="s">
        <v>196</v>
      </c>
      <c r="B7" s="73">
        <v>4.1338125000000012</v>
      </c>
    </row>
    <row r="8" spans="1:2" x14ac:dyDescent="0.2">
      <c r="A8" t="s">
        <v>197</v>
      </c>
      <c r="B8" s="73">
        <v>4.6980625000000007</v>
      </c>
    </row>
    <row r="9" spans="1:2" x14ac:dyDescent="0.2">
      <c r="A9" t="s">
        <v>198</v>
      </c>
      <c r="B9" s="73">
        <v>3.6603750000000006</v>
      </c>
    </row>
    <row r="10" spans="1:2" x14ac:dyDescent="0.2">
      <c r="A10" t="s">
        <v>199</v>
      </c>
      <c r="B10" s="73">
        <v>4.3875000000000002</v>
      </c>
    </row>
    <row r="11" spans="1:2" x14ac:dyDescent="0.2">
      <c r="A11" t="s">
        <v>200</v>
      </c>
      <c r="B11" s="73">
        <v>3.7249999999999996</v>
      </c>
    </row>
    <row r="12" spans="1:2" x14ac:dyDescent="0.2">
      <c r="A12" t="s">
        <v>201</v>
      </c>
      <c r="B12" s="73">
        <v>2.5682499999999999</v>
      </c>
    </row>
    <row r="13" spans="1:2" x14ac:dyDescent="0.2">
      <c r="A13" t="s">
        <v>202</v>
      </c>
      <c r="B13" s="73">
        <v>3.8218125000000005</v>
      </c>
    </row>
    <row r="14" spans="1:2" x14ac:dyDescent="0.2">
      <c r="A14" t="s">
        <v>203</v>
      </c>
      <c r="B14" s="73">
        <v>3.8729999999999998</v>
      </c>
    </row>
    <row r="15" spans="1:2" x14ac:dyDescent="0.2">
      <c r="A15" t="s">
        <v>204</v>
      </c>
      <c r="B15" s="73">
        <v>2.7059374999999997</v>
      </c>
    </row>
    <row r="16" spans="1:2" x14ac:dyDescent="0.2">
      <c r="A16" t="s">
        <v>205</v>
      </c>
      <c r="B16" s="73">
        <v>3.4880833333333325</v>
      </c>
    </row>
    <row r="17" spans="1:2" x14ac:dyDescent="0.2">
      <c r="A17" t="s">
        <v>102</v>
      </c>
      <c r="B17" s="73">
        <v>3.6863437500000034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Helper table</vt:lpstr>
      <vt:lpstr>raw data</vt:lpstr>
      <vt:lpstr>cleaned data</vt:lpstr>
      <vt:lpstr>chart1_scores x courses</vt:lpstr>
      <vt:lpstr>chart2_questions x scores</vt:lpstr>
      <vt:lpstr>chart3_overall assessment</vt:lpstr>
      <vt:lpstr>chart4_score x years</vt:lpstr>
      <vt:lpstr>chart5_terms and average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Mariceli Comellas Quinones</dc:creator>
  <cp:lastModifiedBy>Johnathan Faria</cp:lastModifiedBy>
  <dcterms:created xsi:type="dcterms:W3CDTF">2024-07-09T09:25:31Z</dcterms:created>
  <dcterms:modified xsi:type="dcterms:W3CDTF">2024-07-18T14:07:12Z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2024-07-08T00:00:00Z</vt:filetime>
  </property>
  <property fmtid="{D5CDD505-2E9C-101B-9397-08002B2CF9AE}" pid="3" name="Creator">
    <vt:lpwstr>Tableau 20202.20.626.1424</vt:lpwstr>
  </property>
  <property fmtid="{D5CDD505-2E9C-101B-9397-08002B2CF9AE}" pid="4" name="LastSaved">
    <vt:filetime>2024-07-09T00:00:00Z</vt:filetime>
  </property>
  <property fmtid="{D5CDD505-2E9C-101B-9397-08002B2CF9AE}" pid="5" name="Producer">
    <vt:lpwstr>Qt 5.10.0</vt:lpwstr>
  </property>
</Properties>
</file>